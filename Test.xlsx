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R Marker\"/>
    </mc:Choice>
  </mc:AlternateContent>
  <bookViews>
    <workbookView xWindow="0" yWindow="0" windowWidth="28770" windowHeight="17535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1" l="1"/>
  <c r="E13" i="1"/>
  <c r="E14" i="1" s="1"/>
  <c r="E12" i="1"/>
</calcChain>
</file>

<file path=xl/sharedStrings.xml><?xml version="1.0" encoding="utf-8"?>
<sst xmlns="http://schemas.openxmlformats.org/spreadsheetml/2006/main" count="78" uniqueCount="68">
  <si>
    <t>TRAINING MODEL FOR AR MARKER DETECTION</t>
    <phoneticPr fontId="2" type="noConversion"/>
  </si>
  <si>
    <t>FIRST TRIAL</t>
    <phoneticPr fontId="2" type="noConversion"/>
  </si>
  <si>
    <t>variabel</t>
    <phoneticPr fontId="2" type="noConversion"/>
  </si>
  <si>
    <t>ID ARUCO Marker</t>
    <phoneticPr fontId="2" type="noConversion"/>
  </si>
  <si>
    <t>=</t>
    <phoneticPr fontId="2" type="noConversion"/>
  </si>
  <si>
    <t>=</t>
    <phoneticPr fontId="2" type="noConversion"/>
  </si>
  <si>
    <t>(0-9)</t>
    <phoneticPr fontId="2" type="noConversion"/>
  </si>
  <si>
    <t>consists of 2 sequential marker IDs</t>
    <phoneticPr fontId="2" type="noConversion"/>
  </si>
  <si>
    <t>Defect</t>
    <phoneticPr fontId="2" type="noConversion"/>
  </si>
  <si>
    <t>there are 6 defect</t>
    <phoneticPr fontId="2" type="noConversion"/>
  </si>
  <si>
    <t>Homohraphy Tranformation</t>
    <phoneticPr fontId="2" type="noConversion"/>
  </si>
  <si>
    <t>Image</t>
    <phoneticPr fontId="2" type="noConversion"/>
  </si>
  <si>
    <t>Augmentation</t>
    <phoneticPr fontId="2" type="noConversion"/>
  </si>
  <si>
    <t>performing 10 homographies.</t>
  </si>
  <si>
    <t>applying 5 types of image augmentation</t>
  </si>
  <si>
    <t>No</t>
    <phoneticPr fontId="2" type="noConversion"/>
  </si>
  <si>
    <t>Quantity</t>
    <phoneticPr fontId="2" type="noConversion"/>
  </si>
  <si>
    <t>Description</t>
    <phoneticPr fontId="2" type="noConversion"/>
  </si>
  <si>
    <t>Total Image for training</t>
    <phoneticPr fontId="2" type="noConversion"/>
  </si>
  <si>
    <t>GENERAL INFORMATION</t>
    <phoneticPr fontId="2" type="noConversion"/>
  </si>
  <si>
    <t>MODEL TRAINING INFORMATION</t>
    <phoneticPr fontId="2" type="noConversion"/>
  </si>
  <si>
    <t>YOLO Model</t>
    <phoneticPr fontId="2" type="noConversion"/>
  </si>
  <si>
    <t>=</t>
    <phoneticPr fontId="2" type="noConversion"/>
  </si>
  <si>
    <t>YOLOv8n.pt</t>
    <phoneticPr fontId="2" type="noConversion"/>
  </si>
  <si>
    <t>epoch</t>
  </si>
  <si>
    <t>epoch</t>
    <phoneticPr fontId="2" type="noConversion"/>
  </si>
  <si>
    <t>=</t>
    <phoneticPr fontId="2" type="noConversion"/>
  </si>
  <si>
    <t>image size</t>
    <phoneticPr fontId="2" type="noConversion"/>
  </si>
  <si>
    <t>batch</t>
    <phoneticPr fontId="2" type="noConversion"/>
  </si>
  <si>
    <t>Result</t>
    <phoneticPr fontId="2" type="noConversion"/>
  </si>
  <si>
    <t>time</t>
  </si>
  <si>
    <t>train/box_loss</t>
  </si>
  <si>
    <t>train/cls_loss</t>
  </si>
  <si>
    <t>train/dfl_loss</t>
  </si>
  <si>
    <t>metrics/precision(B)</t>
  </si>
  <si>
    <t>metrics/recall(B)</t>
  </si>
  <si>
    <t>metrics/mAP50(B)</t>
  </si>
  <si>
    <t>metrics/mAP50-95(B)</t>
  </si>
  <si>
    <t>val/box_loss</t>
  </si>
  <si>
    <t>val/cls_loss</t>
  </si>
  <si>
    <t>val/dfl_loss</t>
  </si>
  <si>
    <t>lr/pg0</t>
  </si>
  <si>
    <t>lr/pg1</t>
  </si>
  <si>
    <t>lr/pg2</t>
  </si>
  <si>
    <t>lr/pg3</t>
  </si>
  <si>
    <t>lr/pg4</t>
  </si>
  <si>
    <t>lr/pg5</t>
  </si>
  <si>
    <t>lr/pg6</t>
  </si>
  <si>
    <t>lr/pg7</t>
  </si>
  <si>
    <t>Note</t>
    <phoneticPr fontId="2" type="noConversion"/>
  </si>
  <si>
    <t>train/box_loss</t>
    <phoneticPr fontId="2" type="noConversion"/>
  </si>
  <si>
    <t>train/cls_loss</t>
    <phoneticPr fontId="2" type="noConversion"/>
  </si>
  <si>
    <t>train/dfl_loss</t>
    <phoneticPr fontId="2" type="noConversion"/>
  </si>
  <si>
    <t>metrics/precision</t>
    <phoneticPr fontId="2" type="noConversion"/>
  </si>
  <si>
    <t>metrics/recall</t>
    <phoneticPr fontId="2" type="noConversion"/>
  </si>
  <si>
    <t>val/box_loss</t>
    <phoneticPr fontId="2" type="noConversion"/>
  </si>
  <si>
    <t>val/cls_loss</t>
    <phoneticPr fontId="2" type="noConversion"/>
  </si>
  <si>
    <t>val/dfl_loss</t>
    <phoneticPr fontId="2" type="noConversion"/>
  </si>
  <si>
    <t>metrics/mAP50</t>
    <phoneticPr fontId="2" type="noConversion"/>
  </si>
  <si>
    <t>metrics/mAP50-95</t>
    <phoneticPr fontId="2" type="noConversion"/>
  </si>
  <si>
    <t>YOLO predict the bounding box of the marker</t>
    <phoneticPr fontId="2" type="noConversion"/>
  </si>
  <si>
    <t>Loss for bounding box accuracy.</t>
  </si>
  <si>
    <t>Loss for class classification.</t>
  </si>
  <si>
    <t>YOLO predict the marker ID</t>
    <phoneticPr fontId="2" type="noConversion"/>
  </si>
  <si>
    <t>calculation for precision</t>
    <phoneticPr fontId="2" type="noConversion"/>
  </si>
  <si>
    <t>Calculating how many marker ID predictions are correct out of all detected markers</t>
  </si>
  <si>
    <t>“Calculating how many markers are found out of all existing markers.</t>
  </si>
  <si>
    <t>calculation for recall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</si>
</sst>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 "/>
      <family val="3"/>
      <charset val="129"/>
    </font>
    <font>
      <b/>
      <sz val="12"/>
      <color theme="1"/>
      <name val="Arial "/>
      <family val="3"/>
      <charset val="129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1" fontId="5" fillId="0" borderId="1" xfId="0" applyNumberFormat="1" applyFont="1" applyBorder="1" applyAlignment="1">
      <alignment horizontal="center" vertical="center"/>
    </xf>
    <xf numFmtId="11" fontId="5" fillId="0" borderId="6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1" fontId="5" fillId="0" borderId="8" xfId="0" applyNumberFormat="1" applyFont="1" applyBorder="1" applyAlignment="1">
      <alignment horizontal="center" vertical="center"/>
    </xf>
    <xf numFmtId="11" fontId="5" fillId="0" borderId="9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55</xdr:row>
      <xdr:rowOff>19050</xdr:rowOff>
    </xdr:from>
    <xdr:to>
      <xdr:col>8</xdr:col>
      <xdr:colOff>1562100</xdr:colOff>
      <xdr:row>80</xdr:row>
      <xdr:rowOff>57150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11572875"/>
          <a:ext cx="10553700" cy="5276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22"/>
  <sheetViews>
    <sheetView workbookViewId="0">
      <selection activeCell="C24" sqref="C24"/>
    </sheetView>
  </sheetViews>
  <sheetFormatPr defaultRowHeight="16.5"/>
  <cols>
    <col min="3" max="3" width="46.5" bestFit="1" customWidth="1"/>
    <col min="4" max="4" width="3.375" customWidth="1"/>
    <col min="5" max="5" width="11.625" bestFit="1" customWidth="1"/>
    <col min="6" max="6" width="39.25" bestFit="1" customWidth="1"/>
  </cols>
  <sheetData>
    <row r="3" spans="2:6">
      <c r="C3" t="s">
        <v>0</v>
      </c>
    </row>
    <row r="5" spans="2:6">
      <c r="C5" t="s">
        <v>1</v>
      </c>
    </row>
    <row r="8" spans="2:6" ht="17.25" thickBot="1">
      <c r="C8" t="s">
        <v>19</v>
      </c>
    </row>
    <row r="9" spans="2:6">
      <c r="B9" s="2" t="s">
        <v>15</v>
      </c>
      <c r="C9" s="3" t="s">
        <v>2</v>
      </c>
      <c r="D9" s="3"/>
      <c r="E9" s="3" t="s">
        <v>16</v>
      </c>
      <c r="F9" s="4" t="s">
        <v>17</v>
      </c>
    </row>
    <row r="10" spans="2:6">
      <c r="B10" s="5">
        <v>1</v>
      </c>
      <c r="C10" s="10" t="s">
        <v>3</v>
      </c>
      <c r="D10" s="1" t="s">
        <v>4</v>
      </c>
      <c r="E10" s="1">
        <v>10</v>
      </c>
      <c r="F10" s="12" t="s">
        <v>6</v>
      </c>
    </row>
    <row r="11" spans="2:6">
      <c r="B11" s="5">
        <v>2</v>
      </c>
      <c r="C11" s="10" t="s">
        <v>11</v>
      </c>
      <c r="D11" s="1" t="s">
        <v>5</v>
      </c>
      <c r="E11" s="1">
        <v>5</v>
      </c>
      <c r="F11" s="12" t="s">
        <v>7</v>
      </c>
    </row>
    <row r="12" spans="2:6">
      <c r="B12" s="5">
        <v>3</v>
      </c>
      <c r="C12" s="10" t="s">
        <v>8</v>
      </c>
      <c r="D12" s="1" t="s">
        <v>5</v>
      </c>
      <c r="E12" s="1">
        <f>E11*6</f>
        <v>30</v>
      </c>
      <c r="F12" s="12" t="s">
        <v>9</v>
      </c>
    </row>
    <row r="13" spans="2:6">
      <c r="B13" s="5">
        <v>4</v>
      </c>
      <c r="C13" s="10" t="s">
        <v>10</v>
      </c>
      <c r="D13" s="1" t="s">
        <v>5</v>
      </c>
      <c r="E13" s="1">
        <f>(E11+E12)*10</f>
        <v>350</v>
      </c>
      <c r="F13" s="12" t="s">
        <v>13</v>
      </c>
    </row>
    <row r="14" spans="2:6" ht="17.25" thickBot="1">
      <c r="B14" s="6">
        <v>5</v>
      </c>
      <c r="C14" s="11" t="s">
        <v>12</v>
      </c>
      <c r="D14" s="7" t="s">
        <v>4</v>
      </c>
      <c r="E14" s="7">
        <f>E13*5</f>
        <v>1750</v>
      </c>
      <c r="F14" s="13" t="s">
        <v>14</v>
      </c>
    </row>
    <row r="15" spans="2:6" ht="17.25" thickBot="1">
      <c r="C15" s="8" t="s">
        <v>18</v>
      </c>
      <c r="D15" s="9" t="s">
        <v>5</v>
      </c>
      <c r="E15" s="14">
        <f>E11+E12+E13+E14</f>
        <v>2135</v>
      </c>
    </row>
    <row r="18" spans="3:5">
      <c r="C18" t="s">
        <v>20</v>
      </c>
    </row>
    <row r="19" spans="3:5">
      <c r="C19" t="s">
        <v>21</v>
      </c>
      <c r="D19" t="s">
        <v>22</v>
      </c>
      <c r="E19" t="s">
        <v>23</v>
      </c>
    </row>
    <row r="20" spans="3:5">
      <c r="C20" t="s">
        <v>25</v>
      </c>
      <c r="D20" t="s">
        <v>26</v>
      </c>
      <c r="E20">
        <v>20</v>
      </c>
    </row>
    <row r="21" spans="3:5">
      <c r="C21" t="s">
        <v>27</v>
      </c>
      <c r="D21" t="s">
        <v>26</v>
      </c>
      <c r="E21">
        <v>640</v>
      </c>
    </row>
    <row r="22" spans="3:5">
      <c r="C22" t="s">
        <v>28</v>
      </c>
      <c r="D22" t="s">
        <v>22</v>
      </c>
      <c r="E22">
        <v>8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U93"/>
  <sheetViews>
    <sheetView tabSelected="1" topLeftCell="A52" workbookViewId="0">
      <selection activeCell="E91" sqref="E91"/>
    </sheetView>
  </sheetViews>
  <sheetFormatPr defaultRowHeight="16.5"/>
  <cols>
    <col min="2" max="2" width="7.375" customWidth="1"/>
    <col min="3" max="3" width="8.5" customWidth="1"/>
    <col min="4" max="6" width="18.25" bestFit="1" customWidth="1"/>
    <col min="7" max="7" width="25.75" bestFit="1" customWidth="1"/>
    <col min="8" max="8" width="22" bestFit="1" customWidth="1"/>
    <col min="9" max="9" width="20.75" bestFit="1" customWidth="1"/>
    <col min="10" max="10" width="24.5" bestFit="1" customWidth="1"/>
    <col min="11" max="13" width="15.75" bestFit="1" customWidth="1"/>
    <col min="14" max="21" width="12.75" bestFit="1" customWidth="1"/>
  </cols>
  <sheetData>
    <row r="3" spans="2:2">
      <c r="B3" t="s">
        <v>29</v>
      </c>
    </row>
    <row r="32" ht="17.25" thickBot="1"/>
    <row r="33" spans="2:21" ht="17.25" thickBot="1">
      <c r="B33" s="27" t="s">
        <v>24</v>
      </c>
      <c r="C33" s="28" t="s">
        <v>30</v>
      </c>
      <c r="D33" s="28" t="s">
        <v>31</v>
      </c>
      <c r="E33" s="28" t="s">
        <v>32</v>
      </c>
      <c r="F33" s="28" t="s">
        <v>33</v>
      </c>
      <c r="G33" s="28" t="s">
        <v>34</v>
      </c>
      <c r="H33" s="28" t="s">
        <v>35</v>
      </c>
      <c r="I33" s="28" t="s">
        <v>36</v>
      </c>
      <c r="J33" s="28" t="s">
        <v>37</v>
      </c>
      <c r="K33" s="28" t="s">
        <v>38</v>
      </c>
      <c r="L33" s="28" t="s">
        <v>39</v>
      </c>
      <c r="M33" s="28" t="s">
        <v>40</v>
      </c>
      <c r="N33" s="28" t="s">
        <v>41</v>
      </c>
      <c r="O33" s="28" t="s">
        <v>42</v>
      </c>
      <c r="P33" s="28" t="s">
        <v>43</v>
      </c>
      <c r="Q33" s="28" t="s">
        <v>44</v>
      </c>
      <c r="R33" s="28" t="s">
        <v>45</v>
      </c>
      <c r="S33" s="28" t="s">
        <v>46</v>
      </c>
      <c r="T33" s="28" t="s">
        <v>47</v>
      </c>
      <c r="U33" s="29" t="s">
        <v>48</v>
      </c>
    </row>
    <row r="34" spans="2:21">
      <c r="B34" s="24">
        <v>1</v>
      </c>
      <c r="C34" s="25">
        <v>683.40800000000002</v>
      </c>
      <c r="D34" s="25">
        <v>0.40360000000000001</v>
      </c>
      <c r="E34" s="25">
        <v>3.5348099999999998</v>
      </c>
      <c r="F34" s="25">
        <v>0.90663000000000005</v>
      </c>
      <c r="G34" s="25">
        <v>0.34750999999999999</v>
      </c>
      <c r="H34" s="25">
        <v>9.7369999999999998E-2</v>
      </c>
      <c r="I34" s="25">
        <v>0.13413</v>
      </c>
      <c r="J34" s="25">
        <v>0.12966</v>
      </c>
      <c r="K34" s="25">
        <v>0.17629</v>
      </c>
      <c r="L34" s="25">
        <v>3.31616</v>
      </c>
      <c r="M34" s="25">
        <v>0.80327000000000004</v>
      </c>
      <c r="N34" s="25">
        <v>7.6455499999999999E-4</v>
      </c>
      <c r="O34" s="25">
        <v>2.5485200000000002E-4</v>
      </c>
      <c r="P34" s="25">
        <v>7.6455499999999999E-4</v>
      </c>
      <c r="Q34" s="25">
        <v>2.5485200000000002E-4</v>
      </c>
      <c r="R34" s="25">
        <v>7.6455499999999999E-4</v>
      </c>
      <c r="S34" s="25">
        <v>2.5485200000000002E-4</v>
      </c>
      <c r="T34" s="25">
        <v>7.6455499999999999E-4</v>
      </c>
      <c r="U34" s="26">
        <v>2.5485200000000002E-4</v>
      </c>
    </row>
    <row r="35" spans="2:21">
      <c r="B35" s="15">
        <v>2</v>
      </c>
      <c r="C35" s="16">
        <v>1104.3599999999999</v>
      </c>
      <c r="D35" s="16">
        <v>0.31716</v>
      </c>
      <c r="E35" s="16">
        <v>3.06725</v>
      </c>
      <c r="F35" s="16">
        <v>0.87614999999999998</v>
      </c>
      <c r="G35" s="16">
        <v>0.13642000000000001</v>
      </c>
      <c r="H35" s="16">
        <v>0.75524000000000002</v>
      </c>
      <c r="I35" s="16">
        <v>0.18096000000000001</v>
      </c>
      <c r="J35" s="16">
        <v>0.1782</v>
      </c>
      <c r="K35" s="16">
        <v>0.15948999999999999</v>
      </c>
      <c r="L35" s="16">
        <v>2.6885500000000002</v>
      </c>
      <c r="M35" s="16">
        <v>0.79696</v>
      </c>
      <c r="N35" s="16">
        <v>1.4576400000000001E-3</v>
      </c>
      <c r="O35" s="16">
        <v>4.8588100000000002E-4</v>
      </c>
      <c r="P35" s="16">
        <v>1.4576400000000001E-3</v>
      </c>
      <c r="Q35" s="16">
        <v>4.8588100000000002E-4</v>
      </c>
      <c r="R35" s="16">
        <v>1.4576400000000001E-3</v>
      </c>
      <c r="S35" s="16">
        <v>4.8588100000000002E-4</v>
      </c>
      <c r="T35" s="16">
        <v>1.4576400000000001E-3</v>
      </c>
      <c r="U35" s="17">
        <v>4.8588100000000002E-4</v>
      </c>
    </row>
    <row r="36" spans="2:21">
      <c r="B36" s="15">
        <v>3</v>
      </c>
      <c r="C36" s="16">
        <v>1460.81</v>
      </c>
      <c r="D36" s="16">
        <v>0.29899999999999999</v>
      </c>
      <c r="E36" s="16">
        <v>2.5377000000000001</v>
      </c>
      <c r="F36" s="16">
        <v>0.86146</v>
      </c>
      <c r="G36" s="16">
        <v>0.31807999999999997</v>
      </c>
      <c r="H36" s="16">
        <v>0.68564000000000003</v>
      </c>
      <c r="I36" s="16">
        <v>0.41482000000000002</v>
      </c>
      <c r="J36" s="16">
        <v>0.41321999999999998</v>
      </c>
      <c r="K36" s="16">
        <v>0.17326</v>
      </c>
      <c r="L36" s="16">
        <v>2.2560500000000001</v>
      </c>
      <c r="M36" s="16">
        <v>0.80340999999999996</v>
      </c>
      <c r="N36" s="16">
        <v>2.0745999999999998E-3</v>
      </c>
      <c r="O36" s="16">
        <v>6.9153400000000005E-4</v>
      </c>
      <c r="P36" s="16">
        <v>2.0745999999999998E-3</v>
      </c>
      <c r="Q36" s="16">
        <v>6.9153400000000005E-4</v>
      </c>
      <c r="R36" s="16">
        <v>2.0745999999999998E-3</v>
      </c>
      <c r="S36" s="16">
        <v>6.9153400000000005E-4</v>
      </c>
      <c r="T36" s="16">
        <v>2.0745999999999998E-3</v>
      </c>
      <c r="U36" s="17">
        <v>6.9153400000000005E-4</v>
      </c>
    </row>
    <row r="37" spans="2:21">
      <c r="B37" s="15">
        <v>4</v>
      </c>
      <c r="C37" s="16">
        <v>1770.92</v>
      </c>
      <c r="D37" s="16">
        <v>0.26833000000000001</v>
      </c>
      <c r="E37" s="16">
        <v>2.0685799999999999</v>
      </c>
      <c r="F37" s="16">
        <v>0.84977999999999998</v>
      </c>
      <c r="G37" s="16">
        <v>0.55740000000000001</v>
      </c>
      <c r="H37" s="16">
        <v>0.75768000000000002</v>
      </c>
      <c r="I37" s="16">
        <v>0.75914999999999999</v>
      </c>
      <c r="J37" s="16">
        <v>0.75443000000000005</v>
      </c>
      <c r="K37" s="16">
        <v>0.1603</v>
      </c>
      <c r="L37" s="16">
        <v>1.65429</v>
      </c>
      <c r="M37" s="16">
        <v>0.80171999999999999</v>
      </c>
      <c r="N37" s="16">
        <v>1.9644100000000002E-3</v>
      </c>
      <c r="O37" s="16">
        <v>6.5480400000000004E-4</v>
      </c>
      <c r="P37" s="16">
        <v>1.9644100000000002E-3</v>
      </c>
      <c r="Q37" s="16">
        <v>6.5480400000000004E-4</v>
      </c>
      <c r="R37" s="16">
        <v>1.9644100000000002E-3</v>
      </c>
      <c r="S37" s="16">
        <v>6.5480400000000004E-4</v>
      </c>
      <c r="T37" s="16">
        <v>1.9644100000000002E-3</v>
      </c>
      <c r="U37" s="17">
        <v>6.5480400000000004E-4</v>
      </c>
    </row>
    <row r="38" spans="2:21">
      <c r="B38" s="15">
        <v>5</v>
      </c>
      <c r="C38" s="16">
        <v>2040.26</v>
      </c>
      <c r="D38" s="16">
        <v>0.25501000000000001</v>
      </c>
      <c r="E38" s="16">
        <v>1.63171</v>
      </c>
      <c r="F38" s="16">
        <v>0.84562999999999999</v>
      </c>
      <c r="G38" s="16">
        <v>0.94665999999999995</v>
      </c>
      <c r="H38" s="16">
        <v>0.95008000000000004</v>
      </c>
      <c r="I38" s="16">
        <v>0.96421999999999997</v>
      </c>
      <c r="J38" s="16">
        <v>0.96333000000000002</v>
      </c>
      <c r="K38" s="16">
        <v>0.14011000000000001</v>
      </c>
      <c r="L38" s="16">
        <v>1.10165</v>
      </c>
      <c r="M38" s="16">
        <v>0.79481000000000002</v>
      </c>
      <c r="N38" s="16">
        <v>1.8502099999999999E-3</v>
      </c>
      <c r="O38" s="16">
        <v>6.1673800000000003E-4</v>
      </c>
      <c r="P38" s="16">
        <v>1.8502099999999999E-3</v>
      </c>
      <c r="Q38" s="16">
        <v>6.1673800000000003E-4</v>
      </c>
      <c r="R38" s="16">
        <v>1.8502099999999999E-3</v>
      </c>
      <c r="S38" s="16">
        <v>6.1673800000000003E-4</v>
      </c>
      <c r="T38" s="16">
        <v>1.8502099999999999E-3</v>
      </c>
      <c r="U38" s="17">
        <v>6.1673800000000003E-4</v>
      </c>
    </row>
    <row r="39" spans="2:21">
      <c r="B39" s="15">
        <v>6</v>
      </c>
      <c r="C39" s="16">
        <v>2349.17</v>
      </c>
      <c r="D39" s="16">
        <v>0.23474</v>
      </c>
      <c r="E39" s="16">
        <v>1.24732</v>
      </c>
      <c r="F39" s="16">
        <v>0.83792999999999995</v>
      </c>
      <c r="G39" s="16">
        <v>0.99748999999999999</v>
      </c>
      <c r="H39" s="16">
        <v>0.99766999999999995</v>
      </c>
      <c r="I39" s="16">
        <v>0.99497000000000002</v>
      </c>
      <c r="J39" s="16">
        <v>0.99326000000000003</v>
      </c>
      <c r="K39" s="16">
        <v>0.13791</v>
      </c>
      <c r="L39" s="16">
        <v>0.78120999999999996</v>
      </c>
      <c r="M39" s="16">
        <v>0.79320999999999997</v>
      </c>
      <c r="N39" s="16">
        <v>1.73602E-3</v>
      </c>
      <c r="O39" s="16">
        <v>5.7867200000000002E-4</v>
      </c>
      <c r="P39" s="16">
        <v>1.73602E-3</v>
      </c>
      <c r="Q39" s="16">
        <v>5.7867200000000002E-4</v>
      </c>
      <c r="R39" s="16">
        <v>1.73602E-3</v>
      </c>
      <c r="S39" s="16">
        <v>5.7867200000000002E-4</v>
      </c>
      <c r="T39" s="16">
        <v>1.73602E-3</v>
      </c>
      <c r="U39" s="17">
        <v>5.7867200000000002E-4</v>
      </c>
    </row>
    <row r="40" spans="2:21">
      <c r="B40" s="15">
        <v>7</v>
      </c>
      <c r="C40" s="16">
        <v>2681.1</v>
      </c>
      <c r="D40" s="16">
        <v>0.21684</v>
      </c>
      <c r="E40" s="16">
        <v>1.00715</v>
      </c>
      <c r="F40" s="16">
        <v>0.82798000000000005</v>
      </c>
      <c r="G40" s="16">
        <v>0.99816000000000005</v>
      </c>
      <c r="H40" s="16">
        <v>0.99939</v>
      </c>
      <c r="I40" s="16">
        <v>0.995</v>
      </c>
      <c r="J40" s="16">
        <v>0.99458999999999997</v>
      </c>
      <c r="K40" s="16">
        <v>0.12525</v>
      </c>
      <c r="L40" s="16">
        <v>0.67225999999999997</v>
      </c>
      <c r="M40" s="16">
        <v>0.78913</v>
      </c>
      <c r="N40" s="16">
        <v>1.6218199999999999E-3</v>
      </c>
      <c r="O40" s="16">
        <v>5.4060700000000002E-4</v>
      </c>
      <c r="P40" s="16">
        <v>1.6218199999999999E-3</v>
      </c>
      <c r="Q40" s="16">
        <v>5.4060700000000002E-4</v>
      </c>
      <c r="R40" s="16">
        <v>1.6218199999999999E-3</v>
      </c>
      <c r="S40" s="16">
        <v>5.4060700000000002E-4</v>
      </c>
      <c r="T40" s="16">
        <v>1.6218199999999999E-3</v>
      </c>
      <c r="U40" s="17">
        <v>5.4060700000000002E-4</v>
      </c>
    </row>
    <row r="41" spans="2:21">
      <c r="B41" s="15">
        <v>8</v>
      </c>
      <c r="C41" s="16">
        <v>3016.86</v>
      </c>
      <c r="D41" s="16">
        <v>0.20885000000000001</v>
      </c>
      <c r="E41" s="16">
        <v>0.89258999999999999</v>
      </c>
      <c r="F41" s="16">
        <v>0.82642000000000004</v>
      </c>
      <c r="G41" s="16">
        <v>0.99895999999999996</v>
      </c>
      <c r="H41" s="16">
        <v>0.99944</v>
      </c>
      <c r="I41" s="16">
        <v>0.995</v>
      </c>
      <c r="J41" s="16">
        <v>0.99443999999999999</v>
      </c>
      <c r="K41" s="16">
        <v>0.11890000000000001</v>
      </c>
      <c r="L41" s="16">
        <v>0.61163000000000001</v>
      </c>
      <c r="M41" s="16">
        <v>0.78776999999999997</v>
      </c>
      <c r="N41" s="16">
        <v>1.5076200000000001E-3</v>
      </c>
      <c r="O41" s="16">
        <v>5.0254100000000001E-4</v>
      </c>
      <c r="P41" s="16">
        <v>1.5076200000000001E-3</v>
      </c>
      <c r="Q41" s="16">
        <v>5.0254100000000001E-4</v>
      </c>
      <c r="R41" s="16">
        <v>1.5076200000000001E-3</v>
      </c>
      <c r="S41" s="16">
        <v>5.0254100000000001E-4</v>
      </c>
      <c r="T41" s="16">
        <v>1.5076200000000001E-3</v>
      </c>
      <c r="U41" s="17">
        <v>5.0254100000000001E-4</v>
      </c>
    </row>
    <row r="42" spans="2:21">
      <c r="B42" s="15">
        <v>9</v>
      </c>
      <c r="C42" s="16">
        <v>3348.79</v>
      </c>
      <c r="D42" s="16">
        <v>0.19886000000000001</v>
      </c>
      <c r="E42" s="16">
        <v>0.81710000000000005</v>
      </c>
      <c r="F42" s="16">
        <v>0.82284000000000002</v>
      </c>
      <c r="G42" s="16">
        <v>0.99887000000000004</v>
      </c>
      <c r="H42" s="16">
        <v>1</v>
      </c>
      <c r="I42" s="16">
        <v>0.995</v>
      </c>
      <c r="J42" s="16">
        <v>0.99487000000000003</v>
      </c>
      <c r="K42" s="16">
        <v>0.10971</v>
      </c>
      <c r="L42" s="16">
        <v>0.58111000000000002</v>
      </c>
      <c r="M42" s="16">
        <v>0.78676000000000001</v>
      </c>
      <c r="N42" s="16">
        <v>1.39343E-3</v>
      </c>
      <c r="O42" s="16">
        <v>4.6447600000000002E-4</v>
      </c>
      <c r="P42" s="16">
        <v>1.39343E-3</v>
      </c>
      <c r="Q42" s="16">
        <v>4.6447600000000002E-4</v>
      </c>
      <c r="R42" s="16">
        <v>1.39343E-3</v>
      </c>
      <c r="S42" s="16">
        <v>4.6447600000000002E-4</v>
      </c>
      <c r="T42" s="16">
        <v>1.39343E-3</v>
      </c>
      <c r="U42" s="17">
        <v>4.6447600000000002E-4</v>
      </c>
    </row>
    <row r="43" spans="2:21">
      <c r="B43" s="15">
        <v>10</v>
      </c>
      <c r="C43" s="16">
        <v>3684.13</v>
      </c>
      <c r="D43" s="16">
        <v>0.18565999999999999</v>
      </c>
      <c r="E43" s="16">
        <v>0.75349999999999995</v>
      </c>
      <c r="F43" s="16">
        <v>0.82079000000000002</v>
      </c>
      <c r="G43" s="16">
        <v>0.99878</v>
      </c>
      <c r="H43" s="16">
        <v>1</v>
      </c>
      <c r="I43" s="16">
        <v>0.995</v>
      </c>
      <c r="J43" s="16">
        <v>0.99483999999999995</v>
      </c>
      <c r="K43" s="16">
        <v>0.10020999999999999</v>
      </c>
      <c r="L43" s="16">
        <v>0.57323000000000002</v>
      </c>
      <c r="M43" s="16">
        <v>0.78571000000000002</v>
      </c>
      <c r="N43" s="16">
        <v>1.2792299999999999E-3</v>
      </c>
      <c r="O43" s="16">
        <v>4.2641100000000002E-4</v>
      </c>
      <c r="P43" s="16">
        <v>1.2792299999999999E-3</v>
      </c>
      <c r="Q43" s="16">
        <v>4.2641100000000002E-4</v>
      </c>
      <c r="R43" s="16">
        <v>1.2792299999999999E-3</v>
      </c>
      <c r="S43" s="16">
        <v>4.2641100000000002E-4</v>
      </c>
      <c r="T43" s="16">
        <v>1.2792299999999999E-3</v>
      </c>
      <c r="U43" s="17">
        <v>4.2641100000000002E-4</v>
      </c>
    </row>
    <row r="44" spans="2:21">
      <c r="B44" s="15">
        <v>11</v>
      </c>
      <c r="C44" s="16">
        <v>4015.29</v>
      </c>
      <c r="D44" s="16">
        <v>0.13125000000000001</v>
      </c>
      <c r="E44" s="16">
        <v>0.71421000000000001</v>
      </c>
      <c r="F44" s="16">
        <v>0.77254999999999996</v>
      </c>
      <c r="G44" s="16">
        <v>0.99927999999999995</v>
      </c>
      <c r="H44" s="16">
        <v>1</v>
      </c>
      <c r="I44" s="16">
        <v>0.995</v>
      </c>
      <c r="J44" s="16">
        <v>0.995</v>
      </c>
      <c r="K44" s="16">
        <v>0.10506</v>
      </c>
      <c r="L44" s="16">
        <v>0.54169</v>
      </c>
      <c r="M44" s="16">
        <v>0.78437000000000001</v>
      </c>
      <c r="N44" s="16">
        <v>1.16504E-3</v>
      </c>
      <c r="O44" s="16">
        <v>3.8834500000000001E-4</v>
      </c>
      <c r="P44" s="16">
        <v>1.16504E-3</v>
      </c>
      <c r="Q44" s="16">
        <v>3.8834500000000001E-4</v>
      </c>
      <c r="R44" s="16">
        <v>1.16504E-3</v>
      </c>
      <c r="S44" s="16">
        <v>3.8834500000000001E-4</v>
      </c>
      <c r="T44" s="16">
        <v>1.16504E-3</v>
      </c>
      <c r="U44" s="17">
        <v>3.8834500000000001E-4</v>
      </c>
    </row>
    <row r="45" spans="2:21">
      <c r="B45" s="15">
        <v>12</v>
      </c>
      <c r="C45" s="16">
        <v>4343.8599999999997</v>
      </c>
      <c r="D45" s="16">
        <v>0.12275</v>
      </c>
      <c r="E45" s="16">
        <v>0.66937000000000002</v>
      </c>
      <c r="F45" s="16">
        <v>0.76680000000000004</v>
      </c>
      <c r="G45" s="16">
        <v>0.99924000000000002</v>
      </c>
      <c r="H45" s="16">
        <v>1</v>
      </c>
      <c r="I45" s="16">
        <v>0.995</v>
      </c>
      <c r="J45" s="16">
        <v>0.995</v>
      </c>
      <c r="K45" s="16">
        <v>9.6839999999999996E-2</v>
      </c>
      <c r="L45" s="16">
        <v>0.52042999999999995</v>
      </c>
      <c r="M45" s="16">
        <v>0.78320999999999996</v>
      </c>
      <c r="N45" s="16">
        <v>1.0508399999999999E-3</v>
      </c>
      <c r="O45" s="16">
        <v>3.5028000000000001E-4</v>
      </c>
      <c r="P45" s="16">
        <v>1.0508399999999999E-3</v>
      </c>
      <c r="Q45" s="16">
        <v>3.5028000000000001E-4</v>
      </c>
      <c r="R45" s="16">
        <v>1.0508399999999999E-3</v>
      </c>
      <c r="S45" s="16">
        <v>3.5028000000000001E-4</v>
      </c>
      <c r="T45" s="16">
        <v>1.0508399999999999E-3</v>
      </c>
      <c r="U45" s="17">
        <v>3.5028000000000001E-4</v>
      </c>
    </row>
    <row r="46" spans="2:21">
      <c r="B46" s="15">
        <v>13</v>
      </c>
      <c r="C46" s="16">
        <v>4676.8599999999997</v>
      </c>
      <c r="D46" s="16">
        <v>0.11368</v>
      </c>
      <c r="E46" s="16">
        <v>0.63685999999999998</v>
      </c>
      <c r="F46" s="16">
        <v>0.76358000000000004</v>
      </c>
      <c r="G46" s="16">
        <v>0.99919999999999998</v>
      </c>
      <c r="H46" s="16">
        <v>1</v>
      </c>
      <c r="I46" s="16">
        <v>0.995</v>
      </c>
      <c r="J46" s="16">
        <v>0.995</v>
      </c>
      <c r="K46" s="16">
        <v>9.221E-2</v>
      </c>
      <c r="L46" s="16">
        <v>0.50305</v>
      </c>
      <c r="M46" s="16">
        <v>0.78266999999999998</v>
      </c>
      <c r="N46" s="16">
        <v>9.3664200000000001E-4</v>
      </c>
      <c r="O46" s="16">
        <v>3.12214E-4</v>
      </c>
      <c r="P46" s="16">
        <v>9.3664200000000001E-4</v>
      </c>
      <c r="Q46" s="16">
        <v>3.12214E-4</v>
      </c>
      <c r="R46" s="16">
        <v>9.3664200000000001E-4</v>
      </c>
      <c r="S46" s="16">
        <v>3.12214E-4</v>
      </c>
      <c r="T46" s="16">
        <v>9.3664200000000001E-4</v>
      </c>
      <c r="U46" s="17">
        <v>3.12214E-4</v>
      </c>
    </row>
    <row r="47" spans="2:21">
      <c r="B47" s="15">
        <v>14</v>
      </c>
      <c r="C47" s="16">
        <v>5013.0600000000004</v>
      </c>
      <c r="D47" s="16">
        <v>0.11144</v>
      </c>
      <c r="E47" s="16">
        <v>0.62002000000000002</v>
      </c>
      <c r="F47" s="16">
        <v>0.76173000000000002</v>
      </c>
      <c r="G47" s="16">
        <v>0.99929000000000001</v>
      </c>
      <c r="H47" s="16">
        <v>1</v>
      </c>
      <c r="I47" s="16">
        <v>0.995</v>
      </c>
      <c r="J47" s="16">
        <v>0.995</v>
      </c>
      <c r="K47" s="16">
        <v>8.7470000000000006E-2</v>
      </c>
      <c r="L47" s="16">
        <v>0.48509000000000002</v>
      </c>
      <c r="M47" s="16">
        <v>0.78271000000000002</v>
      </c>
      <c r="N47" s="16">
        <v>8.2244499999999999E-4</v>
      </c>
      <c r="O47" s="16">
        <v>2.7414799999999999E-4</v>
      </c>
      <c r="P47" s="16">
        <v>8.2244499999999999E-4</v>
      </c>
      <c r="Q47" s="16">
        <v>2.7414799999999999E-4</v>
      </c>
      <c r="R47" s="16">
        <v>8.2244499999999999E-4</v>
      </c>
      <c r="S47" s="16">
        <v>2.7414799999999999E-4</v>
      </c>
      <c r="T47" s="16">
        <v>8.2244499999999999E-4</v>
      </c>
      <c r="U47" s="17">
        <v>2.7414799999999999E-4</v>
      </c>
    </row>
    <row r="48" spans="2:21">
      <c r="B48" s="15">
        <v>15</v>
      </c>
      <c r="C48" s="16">
        <v>5342.5</v>
      </c>
      <c r="D48" s="16">
        <v>0.10796</v>
      </c>
      <c r="E48" s="16">
        <v>0.60618000000000005</v>
      </c>
      <c r="F48" s="16">
        <v>0.76715999999999995</v>
      </c>
      <c r="G48" s="16">
        <v>0.99936000000000003</v>
      </c>
      <c r="H48" s="16">
        <v>1</v>
      </c>
      <c r="I48" s="16">
        <v>0.995</v>
      </c>
      <c r="J48" s="16">
        <v>0.995</v>
      </c>
      <c r="K48" s="16">
        <v>8.7120000000000003E-2</v>
      </c>
      <c r="L48" s="16">
        <v>0.47610999999999998</v>
      </c>
      <c r="M48" s="16">
        <v>0.78256000000000003</v>
      </c>
      <c r="N48" s="16">
        <v>7.0824899999999999E-4</v>
      </c>
      <c r="O48" s="16">
        <v>2.36083E-4</v>
      </c>
      <c r="P48" s="16">
        <v>7.0824899999999999E-4</v>
      </c>
      <c r="Q48" s="16">
        <v>2.36083E-4</v>
      </c>
      <c r="R48" s="16">
        <v>7.0824899999999999E-4</v>
      </c>
      <c r="S48" s="16">
        <v>2.36083E-4</v>
      </c>
      <c r="T48" s="16">
        <v>7.0824899999999999E-4</v>
      </c>
      <c r="U48" s="17">
        <v>2.36083E-4</v>
      </c>
    </row>
    <row r="49" spans="2:21">
      <c r="B49" s="15">
        <v>16</v>
      </c>
      <c r="C49" s="16">
        <v>5675.88</v>
      </c>
      <c r="D49" s="16">
        <v>0.10212</v>
      </c>
      <c r="E49" s="16">
        <v>0.59299000000000002</v>
      </c>
      <c r="F49" s="16">
        <v>0.76551000000000002</v>
      </c>
      <c r="G49" s="16">
        <v>0.99931000000000003</v>
      </c>
      <c r="H49" s="16">
        <v>1</v>
      </c>
      <c r="I49" s="16">
        <v>0.995</v>
      </c>
      <c r="J49" s="16">
        <v>0.995</v>
      </c>
      <c r="K49" s="16">
        <v>8.2170000000000007E-2</v>
      </c>
      <c r="L49" s="16">
        <v>0.46443000000000001</v>
      </c>
      <c r="M49" s="16">
        <v>0.78213999999999995</v>
      </c>
      <c r="N49" s="16">
        <v>5.9405299999999999E-4</v>
      </c>
      <c r="O49" s="16">
        <v>1.98018E-4</v>
      </c>
      <c r="P49" s="16">
        <v>5.9405299999999999E-4</v>
      </c>
      <c r="Q49" s="16">
        <v>1.98018E-4</v>
      </c>
      <c r="R49" s="16">
        <v>5.9405299999999999E-4</v>
      </c>
      <c r="S49" s="16">
        <v>1.98018E-4</v>
      </c>
      <c r="T49" s="16">
        <v>5.9405299999999999E-4</v>
      </c>
      <c r="U49" s="17">
        <v>1.98018E-4</v>
      </c>
    </row>
    <row r="50" spans="2:21">
      <c r="B50" s="15">
        <v>17</v>
      </c>
      <c r="C50" s="16">
        <v>6004.2</v>
      </c>
      <c r="D50" s="16">
        <v>9.9269999999999997E-2</v>
      </c>
      <c r="E50" s="16">
        <v>0.58013999999999999</v>
      </c>
      <c r="F50" s="16">
        <v>0.76144000000000001</v>
      </c>
      <c r="G50" s="16">
        <v>0.99933000000000005</v>
      </c>
      <c r="H50" s="16">
        <v>1</v>
      </c>
      <c r="I50" s="16">
        <v>0.995</v>
      </c>
      <c r="J50" s="16">
        <v>0.995</v>
      </c>
      <c r="K50" s="16">
        <v>8.1780000000000005E-2</v>
      </c>
      <c r="L50" s="16">
        <v>0.45651999999999998</v>
      </c>
      <c r="M50" s="16">
        <v>0.78173999999999999</v>
      </c>
      <c r="N50" s="16">
        <v>4.7985600000000002E-4</v>
      </c>
      <c r="O50" s="16">
        <v>1.5995199999999999E-4</v>
      </c>
      <c r="P50" s="16">
        <v>4.7985600000000002E-4</v>
      </c>
      <c r="Q50" s="16">
        <v>1.5995199999999999E-4</v>
      </c>
      <c r="R50" s="16">
        <v>4.7985600000000002E-4</v>
      </c>
      <c r="S50" s="16">
        <v>1.5995199999999999E-4</v>
      </c>
      <c r="T50" s="16">
        <v>4.7985600000000002E-4</v>
      </c>
      <c r="U50" s="17">
        <v>1.5995199999999999E-4</v>
      </c>
    </row>
    <row r="51" spans="2:21">
      <c r="B51" s="15">
        <v>18</v>
      </c>
      <c r="C51" s="16">
        <v>6336.47</v>
      </c>
      <c r="D51" s="16">
        <v>9.9129999999999996E-2</v>
      </c>
      <c r="E51" s="16">
        <v>0.57382</v>
      </c>
      <c r="F51" s="16">
        <v>0.76570000000000005</v>
      </c>
      <c r="G51" s="16">
        <v>0.99931000000000003</v>
      </c>
      <c r="H51" s="16">
        <v>1</v>
      </c>
      <c r="I51" s="16">
        <v>0.995</v>
      </c>
      <c r="J51" s="16">
        <v>0.995</v>
      </c>
      <c r="K51" s="16">
        <v>8.0110000000000001E-2</v>
      </c>
      <c r="L51" s="16">
        <v>0.45434999999999998</v>
      </c>
      <c r="M51" s="16">
        <v>0.78213999999999995</v>
      </c>
      <c r="N51" s="16">
        <v>3.6566000000000002E-4</v>
      </c>
      <c r="O51" s="16">
        <v>1.2188699999999999E-4</v>
      </c>
      <c r="P51" s="16">
        <v>3.6566000000000002E-4</v>
      </c>
      <c r="Q51" s="16">
        <v>1.2188699999999999E-4</v>
      </c>
      <c r="R51" s="16">
        <v>3.6566000000000002E-4</v>
      </c>
      <c r="S51" s="16">
        <v>1.2188699999999999E-4</v>
      </c>
      <c r="T51" s="16">
        <v>3.6566000000000002E-4</v>
      </c>
      <c r="U51" s="17">
        <v>1.2188699999999999E-4</v>
      </c>
    </row>
    <row r="52" spans="2:21">
      <c r="B52" s="15">
        <v>19</v>
      </c>
      <c r="C52" s="16">
        <v>6668.19</v>
      </c>
      <c r="D52" s="16">
        <v>9.5949999999999994E-2</v>
      </c>
      <c r="E52" s="16">
        <v>0.56574000000000002</v>
      </c>
      <c r="F52" s="16">
        <v>0.76105</v>
      </c>
      <c r="G52" s="16">
        <v>0.99931999999999999</v>
      </c>
      <c r="H52" s="16">
        <v>1</v>
      </c>
      <c r="I52" s="16">
        <v>0.995</v>
      </c>
      <c r="J52" s="16">
        <v>0.995</v>
      </c>
      <c r="K52" s="16">
        <v>7.9339999999999994E-2</v>
      </c>
      <c r="L52" s="16">
        <v>0.44833000000000001</v>
      </c>
      <c r="M52" s="16">
        <v>0.78181</v>
      </c>
      <c r="N52" s="16">
        <v>2.51463E-4</v>
      </c>
      <c r="O52" s="18">
        <v>8.3820999999999996E-5</v>
      </c>
      <c r="P52" s="16">
        <v>2.51463E-4</v>
      </c>
      <c r="Q52" s="18">
        <v>8.3820999999999996E-5</v>
      </c>
      <c r="R52" s="16">
        <v>2.51463E-4</v>
      </c>
      <c r="S52" s="18">
        <v>8.3820999999999996E-5</v>
      </c>
      <c r="T52" s="16">
        <v>2.51463E-4</v>
      </c>
      <c r="U52" s="19">
        <v>8.3820999999999996E-5</v>
      </c>
    </row>
    <row r="53" spans="2:21" ht="17.25" thickBot="1">
      <c r="B53" s="20">
        <v>20</v>
      </c>
      <c r="C53" s="21">
        <v>6991.61</v>
      </c>
      <c r="D53" s="21">
        <v>9.3420000000000003E-2</v>
      </c>
      <c r="E53" s="21">
        <v>0.56140999999999996</v>
      </c>
      <c r="F53" s="21">
        <v>0.76463000000000003</v>
      </c>
      <c r="G53" s="21">
        <v>0.99926999999999999</v>
      </c>
      <c r="H53" s="21">
        <v>1</v>
      </c>
      <c r="I53" s="21">
        <v>0.995</v>
      </c>
      <c r="J53" s="21">
        <v>0.995</v>
      </c>
      <c r="K53" s="21">
        <v>7.7679999999999999E-2</v>
      </c>
      <c r="L53" s="21">
        <v>0.44407000000000002</v>
      </c>
      <c r="M53" s="21">
        <v>0.78178000000000003</v>
      </c>
      <c r="N53" s="21">
        <v>1.37267E-4</v>
      </c>
      <c r="O53" s="22">
        <v>4.5755499999999999E-5</v>
      </c>
      <c r="P53" s="21">
        <v>1.37267E-4</v>
      </c>
      <c r="Q53" s="22">
        <v>4.5755499999999999E-5</v>
      </c>
      <c r="R53" s="21">
        <v>1.37267E-4</v>
      </c>
      <c r="S53" s="22">
        <v>4.5755499999999999E-5</v>
      </c>
      <c r="T53" s="21">
        <v>1.37267E-4</v>
      </c>
      <c r="U53" s="23">
        <v>4.5755499999999999E-5</v>
      </c>
    </row>
    <row r="83" spans="3:7">
      <c r="C83" t="s">
        <v>49</v>
      </c>
    </row>
    <row r="84" spans="3:7">
      <c r="C84">
        <v>1</v>
      </c>
      <c r="D84" t="s">
        <v>50</v>
      </c>
      <c r="E84" t="s">
        <v>61</v>
      </c>
      <c r="G84" t="s">
        <v>60</v>
      </c>
    </row>
    <row r="85" spans="3:7">
      <c r="C85">
        <v>2</v>
      </c>
      <c r="D85" t="s">
        <v>51</v>
      </c>
      <c r="E85" t="s">
        <v>62</v>
      </c>
      <c r="G85" t="s">
        <v>63</v>
      </c>
    </row>
    <row r="86" spans="3:7">
      <c r="C86">
        <v>3</v>
      </c>
      <c r="D86" t="s">
        <v>52</v>
      </c>
    </row>
    <row r="87" spans="3:7">
      <c r="C87">
        <v>4</v>
      </c>
      <c r="D87" t="s">
        <v>53</v>
      </c>
      <c r="E87" t="s">
        <v>64</v>
      </c>
      <c r="G87" t="s">
        <v>65</v>
      </c>
    </row>
    <row r="88" spans="3:7">
      <c r="C88">
        <v>5</v>
      </c>
      <c r="D88" t="s">
        <v>54</v>
      </c>
      <c r="E88" t="s">
        <v>67</v>
      </c>
      <c r="G88" t="s">
        <v>66</v>
      </c>
    </row>
    <row r="89" spans="3:7">
      <c r="C89">
        <v>6</v>
      </c>
      <c r="D89" t="s">
        <v>55</v>
      </c>
      <c r="E89" t="s">
        <v>61</v>
      </c>
      <c r="G89" t="s">
        <v>60</v>
      </c>
    </row>
    <row r="90" spans="3:7">
      <c r="C90">
        <v>7</v>
      </c>
      <c r="D90" t="s">
        <v>56</v>
      </c>
      <c r="E90" t="s">
        <v>62</v>
      </c>
      <c r="G90" t="s">
        <v>63</v>
      </c>
    </row>
    <row r="91" spans="3:7">
      <c r="C91">
        <v>8</v>
      </c>
      <c r="D91" t="s">
        <v>57</v>
      </c>
    </row>
    <row r="92" spans="3:7">
      <c r="C92">
        <v>9</v>
      </c>
      <c r="D92" t="s">
        <v>58</v>
      </c>
    </row>
    <row r="93" spans="3:7">
      <c r="C93">
        <v>10</v>
      </c>
      <c r="D93" t="s">
        <v>59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SHIPS</dc:creator>
  <cp:lastModifiedBy>SHIPS</cp:lastModifiedBy>
  <dcterms:created xsi:type="dcterms:W3CDTF">2026-01-22T06:47:50Z</dcterms:created>
  <dcterms:modified xsi:type="dcterms:W3CDTF">2026-01-27T08:46:51Z</dcterms:modified>
</cp:coreProperties>
</file>