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7" i="2" l="1"/>
  <c r="E12" i="1" l="1"/>
  <c r="E13" i="1" l="1"/>
  <c r="E14" i="1" s="1"/>
  <c r="E15" i="1" l="1"/>
</calcChain>
</file>

<file path=xl/sharedStrings.xml><?xml version="1.0" encoding="utf-8"?>
<sst xmlns="http://schemas.openxmlformats.org/spreadsheetml/2006/main" count="76" uniqueCount="65">
  <si>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</si>
  <si>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</si>
  <si>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</si>
  <si>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</si>
  <si>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</si>
  <si>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(0-9)</t>
    <phoneticPr fontId="1" type="noConversion"/>
  </si>
  <si>
    <t>consists of 2 sequential marker IDs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</si>
  <si>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</si>
  <si>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</si>
  <si>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</si>
  <si>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</si>
  <si>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</si>
  <si>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performing 10 homographies.</t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</si>
  <si>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</si>
  <si>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</si>
  <si>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</si>
  <si>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</si>
  <si>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</si>
  <si>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</si>
  <si>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</si>
  <si>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</si>
  <si>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</si>
  <si>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</si>
  <si>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</si>
  <si>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</si>
  <si>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</si>
  <si>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</si>
  <si>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</si>
  <si>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</si>
  <si>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</si>
  <si>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</si>
  <si>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</si>
  <si>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</si>
  <si>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train/box_loss</t>
    <phoneticPr fontId="1" type="noConversion"/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</si>
  <si>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</si>
  <si>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</si>
  <si>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</si>
  <si>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metrics/recall</t>
    <phoneticPr fontId="1" type="noConversion"/>
  </si>
  <si>
    <t>val/box_loss</t>
    <phoneticPr fontId="1" type="noConversion"/>
  </si>
  <si>
    <t>val/cls_loss</t>
    <phoneticPr fontId="1" type="noConversion"/>
  </si>
  <si>
    <t>val/dfl_loss</t>
    <phoneticPr fontId="1" type="noConversion"/>
  </si>
  <si>
    <t>metrics/mAP50</t>
    <phoneticPr fontId="1" type="noConversion"/>
  </si>
  <si>
    <t>metrics/mAP50-95</t>
    <phoneticPr fontId="1" type="noConversion"/>
  </si>
  <si>
    <t>YOLO predict the bounding box of the marker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</si>
  <si>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</si>
  <si>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</si>
  <si>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</si>
  <si>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calculation for precision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</si>
  <si>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</si>
  <si>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</si>
  <si>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YOLO modeling the distribution of possible box positions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</si>
  <si>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</si>
  <si>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</si>
  <si>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</si>
  <si>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</si>
  <si>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</si>
  <si>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Detecting objects and marking their positions as accurately as possible, as quickly as possible</t>
    <phoneticPr fontId="1" type="noConversion"/>
  </si>
  <si>
    <t>Training Result</t>
    <phoneticPr fontId="1" type="noConversion"/>
  </si>
  <si>
    <t>metrics/ precision(B)</t>
    <phoneticPr fontId="1" type="noConversion"/>
  </si>
  <si>
    <t>metrics/ mAP50-95(B)</t>
    <phoneticPr fontId="1" type="noConversion"/>
  </si>
  <si>
    <t>metrics/ recall(B)</t>
    <phoneticPr fontId="1" type="noConversion"/>
  </si>
  <si>
    <t>metrics/ mAP50(B)</t>
    <phoneticPr fontId="1" type="noConversion"/>
  </si>
  <si>
    <t>epoch</t>
    <phoneticPr fontId="1" type="noConversion"/>
  </si>
  <si>
    <t>epoch</t>
    <phoneticPr fontId="1" type="noConversion"/>
  </si>
  <si>
    <t>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</si>
</sst>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5</xdr:row>
      <xdr:rowOff>38100</xdr:rowOff>
    </xdr:from>
    <xdr:to>
      <xdr:col>20</xdr:col>
      <xdr:colOff>95250</xdr:colOff>
      <xdr:row>35</xdr:row>
      <xdr:rowOff>76200</xdr:rowOff>
    </xdr:to>
    <xdr:pic>
      <xdr:nvPicPr>
        <xdr:cNvPr id="3" name="그림 2" descr="D:\AR Marker\Project\runs\experiment_1\aruco_yolo_3_training\results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3350" y="1257300"/>
          <a:ext cx="13525500" cy="676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tabSelected="1" workbookViewId="0">
      <selection activeCell="E15" sqref="E15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39.25" style="1" bestFit="1" customWidth="1"/>
    <col min="7" max="16384" width="9" style="1"/>
  </cols>
  <sheetData>
    <row r="3" spans="2:6" ht="34.5" x14ac:dyDescent="0.3">
      <c r="B3" s="44" t="s">
        <v>0</v>
      </c>
      <c r="C3" s="44"/>
      <c r="D3" s="44"/>
      <c r="E3" s="44"/>
      <c r="F3" s="44"/>
    </row>
    <row r="8" spans="2:6" ht="17.25" thickBot="1" x14ac:dyDescent="0.35">
      <c r="C8" s="1" t="s">
        <v>18</v>
      </c>
    </row>
    <row r="9" spans="2:6" ht="17.25" x14ac:dyDescent="0.3">
      <c r="B9" s="4" t="s">
        <v>14</v>
      </c>
      <c r="C9" s="5" t="s">
        <v>1</v>
      </c>
      <c r="D9" s="5"/>
      <c r="E9" s="5" t="s">
        <v>15</v>
      </c>
      <c r="F9" s="6" t="s">
        <v>16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</v>
      </c>
      <c r="F10" s="10" t="s">
        <v>5</v>
      </c>
    </row>
    <row r="11" spans="2:6" ht="17.25" x14ac:dyDescent="0.3">
      <c r="B11" s="7">
        <v>2</v>
      </c>
      <c r="C11" s="8" t="s">
        <v>10</v>
      </c>
      <c r="D11" s="9" t="s">
        <v>4</v>
      </c>
      <c r="E11" s="9">
        <v>5</v>
      </c>
      <c r="F11" s="10" t="s">
        <v>6</v>
      </c>
    </row>
    <row r="12" spans="2:6" ht="17.25" x14ac:dyDescent="0.3">
      <c r="B12" s="7">
        <v>3</v>
      </c>
      <c r="C12" s="8" t="s">
        <v>7</v>
      </c>
      <c r="D12" s="9" t="s">
        <v>4</v>
      </c>
      <c r="E12" s="9">
        <f>E11*6</f>
        <v>30</v>
      </c>
      <c r="F12" s="10" t="s">
        <v>8</v>
      </c>
    </row>
    <row r="13" spans="2:6" ht="17.25" x14ac:dyDescent="0.3">
      <c r="B13" s="7">
        <v>4</v>
      </c>
      <c r="C13" s="8" t="s">
        <v>9</v>
      </c>
      <c r="D13" s="9" t="s">
        <v>4</v>
      </c>
      <c r="E13" s="9">
        <f>(E11+E12)*10</f>
        <v>350</v>
      </c>
      <c r="F13" s="10" t="s">
        <v>12</v>
      </c>
    </row>
    <row r="14" spans="2:6" ht="18" thickBot="1" x14ac:dyDescent="0.35">
      <c r="B14" s="11">
        <v>5</v>
      </c>
      <c r="C14" s="12" t="s">
        <v>11</v>
      </c>
      <c r="D14" s="13" t="s">
        <v>3</v>
      </c>
      <c r="E14" s="13">
        <f>E13*5</f>
        <v>1750</v>
      </c>
      <c r="F14" s="14" t="s">
        <v>13</v>
      </c>
    </row>
    <row r="15" spans="2:6" ht="18" thickBot="1" x14ac:dyDescent="0.35">
      <c r="C15" s="15" t="s">
        <v>17</v>
      </c>
      <c r="D15" s="16" t="s">
        <v>4</v>
      </c>
      <c r="E15" s="17">
        <f>E11+E12+E13+E14</f>
        <v>2135</v>
      </c>
    </row>
    <row r="18" spans="3:5" ht="17.25" thickBot="1" x14ac:dyDescent="0.35">
      <c r="C18" s="1" t="s">
        <v>19</v>
      </c>
    </row>
    <row r="19" spans="3:5" x14ac:dyDescent="0.3">
      <c r="C19" s="18" t="s">
        <v>20</v>
      </c>
      <c r="D19" s="19" t="s">
        <v>21</v>
      </c>
      <c r="E19" s="20" t="s">
        <v>22</v>
      </c>
    </row>
    <row r="20" spans="3:5" x14ac:dyDescent="0.3">
      <c r="C20" s="21" t="s">
        <v>24</v>
      </c>
      <c r="D20" s="22" t="s">
        <v>23</v>
      </c>
      <c r="E20" s="23">
        <v>640</v>
      </c>
    </row>
    <row r="21" spans="3:5" x14ac:dyDescent="0.3">
      <c r="C21" s="41" t="s">
        <v>63</v>
      </c>
      <c r="D21" s="42" t="s">
        <v>64</v>
      </c>
      <c r="E21" s="43">
        <v>100</v>
      </c>
    </row>
    <row r="22" spans="3:5" ht="17.25" thickBot="1" x14ac:dyDescent="0.35">
      <c r="C22" s="24" t="s">
        <v>25</v>
      </c>
      <c r="D22" s="25" t="s">
        <v>21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topLeftCell="M4" zoomScaleNormal="100" workbookViewId="0">
      <selection activeCell="Q38" sqref="Q38:R47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57</v>
      </c>
    </row>
    <row r="5" spans="2:13" ht="17.25" thickBot="1" x14ac:dyDescent="0.35"/>
    <row r="6" spans="2:13" ht="51" customHeight="1" x14ac:dyDescent="0.3">
      <c r="B6" s="30" t="s">
        <v>62</v>
      </c>
      <c r="C6" s="31" t="s">
        <v>26</v>
      </c>
      <c r="D6" s="31" t="s">
        <v>27</v>
      </c>
      <c r="E6" s="31" t="s">
        <v>28</v>
      </c>
      <c r="F6" s="31" t="s">
        <v>29</v>
      </c>
      <c r="G6" s="31" t="s">
        <v>58</v>
      </c>
      <c r="H6" s="31" t="s">
        <v>60</v>
      </c>
      <c r="I6" s="31" t="s">
        <v>61</v>
      </c>
      <c r="J6" s="31" t="s">
        <v>59</v>
      </c>
      <c r="K6" s="31" t="s">
        <v>30</v>
      </c>
      <c r="L6" s="31" t="s">
        <v>31</v>
      </c>
      <c r="M6" s="31" t="s">
        <v>32</v>
      </c>
    </row>
    <row r="7" spans="2:13" x14ac:dyDescent="0.3">
      <c r="B7" s="27">
        <v>1</v>
      </c>
      <c r="C7" s="2">
        <v>807.601</v>
      </c>
      <c r="D7" s="2">
        <v>0.39372000000000001</v>
      </c>
      <c r="E7" s="2">
        <v>3.60033</v>
      </c>
      <c r="F7" s="2">
        <v>0.90658000000000005</v>
      </c>
      <c r="G7" s="2">
        <v>7.5300000000000002E-3</v>
      </c>
      <c r="H7" s="2">
        <v>0.98695999999999995</v>
      </c>
      <c r="I7" s="2">
        <v>9.2960000000000001E-2</v>
      </c>
      <c r="J7" s="2">
        <v>8.8270000000000001E-2</v>
      </c>
      <c r="K7" s="2">
        <v>0.18815999999999999</v>
      </c>
      <c r="L7" s="2">
        <v>3.4784700000000002</v>
      </c>
      <c r="M7" s="2">
        <v>0.80637999999999999</v>
      </c>
    </row>
    <row r="8" spans="2:13" x14ac:dyDescent="0.3">
      <c r="B8" s="27">
        <v>2</v>
      </c>
      <c r="C8" s="2">
        <v>1341.66</v>
      </c>
      <c r="D8" s="2">
        <v>0.29825000000000002</v>
      </c>
      <c r="E8" s="2">
        <v>3.15069</v>
      </c>
      <c r="F8" s="2">
        <v>0.87651999999999997</v>
      </c>
      <c r="G8" s="2">
        <v>0.11094999999999999</v>
      </c>
      <c r="H8" s="2">
        <v>0.56001999999999996</v>
      </c>
      <c r="I8" s="2">
        <v>0.1739</v>
      </c>
      <c r="J8" s="2">
        <v>0.17116999999999999</v>
      </c>
      <c r="K8" s="2">
        <v>0.19034999999999999</v>
      </c>
      <c r="L8" s="2">
        <v>2.8241200000000002</v>
      </c>
      <c r="M8" s="2">
        <v>0.80891999999999997</v>
      </c>
    </row>
    <row r="9" spans="2:13" x14ac:dyDescent="0.3">
      <c r="B9" s="27">
        <v>3</v>
      </c>
      <c r="C9" s="2">
        <v>1784.24</v>
      </c>
      <c r="D9" s="2">
        <v>0.28820000000000001</v>
      </c>
      <c r="E9" s="2">
        <v>2.6034299999999999</v>
      </c>
      <c r="F9" s="2">
        <v>0.87717000000000001</v>
      </c>
      <c r="G9" s="2">
        <v>0.33473000000000003</v>
      </c>
      <c r="H9" s="2">
        <v>0.57925000000000004</v>
      </c>
      <c r="I9" s="2">
        <v>0.41948999999999997</v>
      </c>
      <c r="J9" s="2">
        <v>0.41478999999999999</v>
      </c>
      <c r="K9" s="2">
        <v>0.19116</v>
      </c>
      <c r="L9" s="2">
        <v>2.2946399999999998</v>
      </c>
      <c r="M9" s="2">
        <v>0.80471000000000004</v>
      </c>
    </row>
    <row r="10" spans="2:13" x14ac:dyDescent="0.3">
      <c r="B10" s="27">
        <v>4</v>
      </c>
      <c r="C10" s="2">
        <v>2206.2199999999998</v>
      </c>
      <c r="D10" s="2">
        <v>0.27163999999999999</v>
      </c>
      <c r="E10" s="2">
        <v>2.0723500000000001</v>
      </c>
      <c r="F10" s="2">
        <v>0.86992000000000003</v>
      </c>
      <c r="G10" s="2">
        <v>0.74690000000000001</v>
      </c>
      <c r="H10" s="2">
        <v>0.81684000000000001</v>
      </c>
      <c r="I10" s="2">
        <v>0.85628000000000004</v>
      </c>
      <c r="J10" s="2">
        <v>0.84699999999999998</v>
      </c>
      <c r="K10" s="2">
        <v>0.17287</v>
      </c>
      <c r="L10" s="2">
        <v>1.52555</v>
      </c>
      <c r="M10" s="2">
        <v>0.79737999999999998</v>
      </c>
    </row>
    <row r="11" spans="2:13" x14ac:dyDescent="0.3">
      <c r="B11" s="27">
        <v>5</v>
      </c>
      <c r="C11" s="2">
        <v>2631.25</v>
      </c>
      <c r="D11" s="2">
        <v>0.25068000000000001</v>
      </c>
      <c r="E11" s="2">
        <v>1.5142199999999999</v>
      </c>
      <c r="F11" s="2">
        <v>0.85784000000000005</v>
      </c>
      <c r="G11" s="2">
        <v>0.98482999999999998</v>
      </c>
      <c r="H11" s="2">
        <v>0.97575000000000001</v>
      </c>
      <c r="I11" s="2">
        <v>0.99392000000000003</v>
      </c>
      <c r="J11" s="2">
        <v>0.99053999999999998</v>
      </c>
      <c r="K11" s="2">
        <v>0.16261999999999999</v>
      </c>
      <c r="L11" s="2">
        <v>0.91839000000000004</v>
      </c>
      <c r="M11" s="2">
        <v>0.78793000000000002</v>
      </c>
    </row>
    <row r="12" spans="2:13" x14ac:dyDescent="0.3">
      <c r="B12" s="27">
        <v>6</v>
      </c>
      <c r="C12" s="2">
        <v>3056.04</v>
      </c>
      <c r="D12" s="2">
        <v>0.23404</v>
      </c>
      <c r="E12" s="2">
        <v>1.0936399999999999</v>
      </c>
      <c r="F12" s="2">
        <v>0.84424999999999994</v>
      </c>
      <c r="G12" s="2">
        <v>0.99582000000000004</v>
      </c>
      <c r="H12" s="2">
        <v>0.99894000000000005</v>
      </c>
      <c r="I12" s="2">
        <v>0.995</v>
      </c>
      <c r="J12" s="2">
        <v>0.99428000000000005</v>
      </c>
      <c r="K12" s="2">
        <v>0.14860000000000001</v>
      </c>
      <c r="L12" s="2">
        <v>0.69528999999999996</v>
      </c>
      <c r="M12" s="2">
        <v>0.77824000000000004</v>
      </c>
    </row>
    <row r="13" spans="2:13" x14ac:dyDescent="0.3">
      <c r="B13" s="27">
        <v>7</v>
      </c>
      <c r="C13" s="2">
        <v>3481.7</v>
      </c>
      <c r="D13" s="2">
        <v>0.21293000000000001</v>
      </c>
      <c r="E13" s="2">
        <v>0.90283999999999998</v>
      </c>
      <c r="F13" s="2">
        <v>0.83933999999999997</v>
      </c>
      <c r="G13" s="2">
        <v>0.99900999999999995</v>
      </c>
      <c r="H13" s="2">
        <v>1</v>
      </c>
      <c r="I13" s="2">
        <v>0.995</v>
      </c>
      <c r="J13" s="2">
        <v>0.99419999999999997</v>
      </c>
      <c r="K13" s="2">
        <v>0.12842999999999999</v>
      </c>
      <c r="L13" s="2">
        <v>0.64454</v>
      </c>
      <c r="M13" s="2">
        <v>0.77351999999999999</v>
      </c>
    </row>
    <row r="14" spans="2:13" x14ac:dyDescent="0.3">
      <c r="B14" s="27">
        <v>8</v>
      </c>
      <c r="C14" s="2">
        <v>3906.6</v>
      </c>
      <c r="D14" s="2">
        <v>0.20043</v>
      </c>
      <c r="E14" s="2">
        <v>0.79634000000000005</v>
      </c>
      <c r="F14" s="2">
        <v>0.83326999999999996</v>
      </c>
      <c r="G14" s="2">
        <v>0.99909999999999999</v>
      </c>
      <c r="H14" s="2">
        <v>1</v>
      </c>
      <c r="I14" s="2">
        <v>0.995</v>
      </c>
      <c r="J14" s="2">
        <v>0.99477000000000004</v>
      </c>
      <c r="K14" s="2">
        <v>0.12554000000000001</v>
      </c>
      <c r="L14" s="2">
        <v>0.59335000000000004</v>
      </c>
      <c r="M14" s="2">
        <v>0.77195000000000003</v>
      </c>
    </row>
    <row r="15" spans="2:13" x14ac:dyDescent="0.3">
      <c r="B15" s="27">
        <v>9</v>
      </c>
      <c r="C15" s="2">
        <v>4332.2</v>
      </c>
      <c r="D15" s="2">
        <v>0.18703</v>
      </c>
      <c r="E15" s="2">
        <v>0.72987000000000002</v>
      </c>
      <c r="F15" s="2">
        <v>0.82811000000000001</v>
      </c>
      <c r="G15" s="2">
        <v>0.99909999999999999</v>
      </c>
      <c r="H15" s="2">
        <v>1</v>
      </c>
      <c r="I15" s="2">
        <v>0.995</v>
      </c>
      <c r="J15" s="2">
        <v>0.995</v>
      </c>
      <c r="K15" s="2">
        <v>0.11756999999999999</v>
      </c>
      <c r="L15" s="2">
        <v>0.57196000000000002</v>
      </c>
      <c r="M15" s="2">
        <v>0.76970000000000005</v>
      </c>
    </row>
    <row r="16" spans="2:13" x14ac:dyDescent="0.3">
      <c r="B16" s="27">
        <v>10</v>
      </c>
      <c r="C16" s="2">
        <v>4752.5200000000004</v>
      </c>
      <c r="D16" s="2">
        <v>0.18193000000000001</v>
      </c>
      <c r="E16" s="2">
        <v>0.69530999999999998</v>
      </c>
      <c r="F16" s="2">
        <v>0.82887999999999995</v>
      </c>
      <c r="G16" s="2">
        <v>0.99834000000000001</v>
      </c>
      <c r="H16" s="2">
        <v>1</v>
      </c>
      <c r="I16" s="2">
        <v>0.995</v>
      </c>
      <c r="J16" s="2">
        <v>0.99489000000000005</v>
      </c>
      <c r="K16" s="2">
        <v>0.10933</v>
      </c>
      <c r="L16" s="2">
        <v>0.56089999999999995</v>
      </c>
      <c r="M16" s="2">
        <v>0.76924999999999999</v>
      </c>
    </row>
    <row r="17" spans="2:13" x14ac:dyDescent="0.3">
      <c r="B17" s="27">
        <v>11</v>
      </c>
      <c r="C17" s="2">
        <v>5172.3</v>
      </c>
      <c r="D17" s="2">
        <v>0.17541999999999999</v>
      </c>
      <c r="E17" s="2">
        <v>0.65112999999999999</v>
      </c>
      <c r="F17" s="2">
        <v>0.82301999999999997</v>
      </c>
      <c r="G17" s="2">
        <v>0.99912999999999996</v>
      </c>
      <c r="H17" s="2">
        <v>1</v>
      </c>
      <c r="I17" s="2">
        <v>0.995</v>
      </c>
      <c r="J17" s="2">
        <v>0.995</v>
      </c>
      <c r="K17" s="2">
        <v>0.10147</v>
      </c>
      <c r="L17" s="2">
        <v>0.51961000000000002</v>
      </c>
      <c r="M17" s="2">
        <v>0.76627000000000001</v>
      </c>
    </row>
    <row r="18" spans="2:13" x14ac:dyDescent="0.3">
      <c r="B18" s="27">
        <v>12</v>
      </c>
      <c r="C18" s="2">
        <v>5598.68</v>
      </c>
      <c r="D18" s="2">
        <v>0.17166000000000001</v>
      </c>
      <c r="E18" s="2">
        <v>0.63131999999999999</v>
      </c>
      <c r="F18" s="2">
        <v>0.82682999999999995</v>
      </c>
      <c r="G18" s="2">
        <v>0.99895999999999996</v>
      </c>
      <c r="H18" s="2">
        <v>1</v>
      </c>
      <c r="I18" s="2">
        <v>0.995</v>
      </c>
      <c r="J18" s="2">
        <v>0.995</v>
      </c>
      <c r="K18" s="2">
        <v>0.10442</v>
      </c>
      <c r="L18" s="2">
        <v>0.51963999999999999</v>
      </c>
      <c r="M18" s="2">
        <v>0.7661</v>
      </c>
    </row>
    <row r="19" spans="2:13" x14ac:dyDescent="0.3">
      <c r="B19" s="27">
        <v>13</v>
      </c>
      <c r="C19" s="2">
        <v>6025.46</v>
      </c>
      <c r="D19" s="2">
        <v>0.16561999999999999</v>
      </c>
      <c r="E19" s="2">
        <v>0.59962000000000004</v>
      </c>
      <c r="F19" s="2">
        <v>0.82194</v>
      </c>
      <c r="G19" s="2">
        <v>0.99873000000000001</v>
      </c>
      <c r="H19" s="2">
        <v>1</v>
      </c>
      <c r="I19" s="2">
        <v>0.995</v>
      </c>
      <c r="J19" s="2">
        <v>0.995</v>
      </c>
      <c r="K19" s="2">
        <v>0.10006</v>
      </c>
      <c r="L19" s="2">
        <v>0.50915999999999995</v>
      </c>
      <c r="M19" s="2">
        <v>0.76534999999999997</v>
      </c>
    </row>
    <row r="20" spans="2:13" x14ac:dyDescent="0.3">
      <c r="B20" s="27">
        <v>14</v>
      </c>
      <c r="C20" s="2">
        <v>6435.87</v>
      </c>
      <c r="D20" s="2">
        <v>0.16194</v>
      </c>
      <c r="E20" s="2">
        <v>0.58365</v>
      </c>
      <c r="F20" s="2">
        <v>0.81906000000000001</v>
      </c>
      <c r="G20" s="2">
        <v>0.99909000000000003</v>
      </c>
      <c r="H20" s="2">
        <v>1</v>
      </c>
      <c r="I20" s="2">
        <v>0.995</v>
      </c>
      <c r="J20" s="2">
        <v>0.995</v>
      </c>
      <c r="K20" s="2">
        <v>9.7839999999999996E-2</v>
      </c>
      <c r="L20" s="2">
        <v>0.47938999999999998</v>
      </c>
      <c r="M20" s="2">
        <v>0.76463000000000003</v>
      </c>
    </row>
    <row r="21" spans="2:13" x14ac:dyDescent="0.3">
      <c r="B21" s="27">
        <v>15</v>
      </c>
      <c r="C21" s="2">
        <v>6852.96</v>
      </c>
      <c r="D21" s="2">
        <v>0.16056000000000001</v>
      </c>
      <c r="E21" s="2">
        <v>0.55935000000000001</v>
      </c>
      <c r="F21" s="2">
        <v>0.81911</v>
      </c>
      <c r="G21" s="2">
        <v>0.99917999999999996</v>
      </c>
      <c r="H21" s="2">
        <v>1</v>
      </c>
      <c r="I21" s="2">
        <v>0.995</v>
      </c>
      <c r="J21" s="2">
        <v>0.995</v>
      </c>
      <c r="K21" s="2">
        <v>9.5880000000000007E-2</v>
      </c>
      <c r="L21" s="2">
        <v>0.48000999999999999</v>
      </c>
      <c r="M21" s="2">
        <v>0.76424999999999998</v>
      </c>
    </row>
    <row r="22" spans="2:13" x14ac:dyDescent="0.3">
      <c r="B22" s="27">
        <v>16</v>
      </c>
      <c r="C22" s="2">
        <v>7255.7</v>
      </c>
      <c r="D22" s="2">
        <v>0.15812000000000001</v>
      </c>
      <c r="E22" s="2">
        <v>0.54634000000000005</v>
      </c>
      <c r="F22" s="2">
        <v>0.81886999999999999</v>
      </c>
      <c r="G22" s="2">
        <v>0.99919000000000002</v>
      </c>
      <c r="H22" s="2">
        <v>1</v>
      </c>
      <c r="I22" s="2">
        <v>0.995</v>
      </c>
      <c r="J22" s="2">
        <v>0.995</v>
      </c>
      <c r="K22" s="2">
        <v>9.5570000000000002E-2</v>
      </c>
      <c r="L22" s="2">
        <v>0.47549000000000002</v>
      </c>
      <c r="M22" s="2">
        <v>0.76361999999999997</v>
      </c>
    </row>
    <row r="23" spans="2:13" x14ac:dyDescent="0.3">
      <c r="B23" s="27">
        <v>17</v>
      </c>
      <c r="C23" s="2">
        <v>7663.46</v>
      </c>
      <c r="D23" s="2">
        <v>0.15401999999999999</v>
      </c>
      <c r="E23" s="2">
        <v>0.52346999999999999</v>
      </c>
      <c r="F23" s="2">
        <v>0.81825000000000003</v>
      </c>
      <c r="G23" s="2">
        <v>0.99912000000000001</v>
      </c>
      <c r="H23" s="2">
        <v>1</v>
      </c>
      <c r="I23" s="2">
        <v>0.995</v>
      </c>
      <c r="J23" s="2">
        <v>0.995</v>
      </c>
      <c r="K23" s="2">
        <v>9.1759999999999994E-2</v>
      </c>
      <c r="L23" s="2">
        <v>0.46625</v>
      </c>
      <c r="M23" s="2">
        <v>0.76395000000000002</v>
      </c>
    </row>
    <row r="24" spans="2:13" x14ac:dyDescent="0.3">
      <c r="B24" s="27">
        <v>18</v>
      </c>
      <c r="C24" s="2">
        <v>8009.41</v>
      </c>
      <c r="D24" s="2">
        <v>0.15028</v>
      </c>
      <c r="E24" s="2">
        <v>0.50934999999999997</v>
      </c>
      <c r="F24" s="2">
        <v>0.81860999999999995</v>
      </c>
      <c r="G24" s="2">
        <v>0.99892999999999998</v>
      </c>
      <c r="H24" s="2">
        <v>1</v>
      </c>
      <c r="I24" s="2">
        <v>0.995</v>
      </c>
      <c r="J24" s="2">
        <v>0.995</v>
      </c>
      <c r="K24" s="2">
        <v>8.8400000000000006E-2</v>
      </c>
      <c r="L24" s="2">
        <v>0.46084999999999998</v>
      </c>
      <c r="M24" s="2">
        <v>0.76266999999999996</v>
      </c>
    </row>
    <row r="25" spans="2:13" x14ac:dyDescent="0.3">
      <c r="B25" s="27">
        <v>19</v>
      </c>
      <c r="C25" s="2">
        <v>8351.1200000000008</v>
      </c>
      <c r="D25" s="2">
        <v>0.14729</v>
      </c>
      <c r="E25" s="2">
        <v>0.49117</v>
      </c>
      <c r="F25" s="2">
        <v>0.81642999999999999</v>
      </c>
      <c r="G25" s="2">
        <v>0.99911000000000005</v>
      </c>
      <c r="H25" s="2">
        <v>1</v>
      </c>
      <c r="I25" s="2">
        <v>0.995</v>
      </c>
      <c r="J25" s="2">
        <v>0.995</v>
      </c>
      <c r="K25" s="2">
        <v>9.64E-2</v>
      </c>
      <c r="L25" s="2">
        <v>0.44106000000000001</v>
      </c>
      <c r="M25" s="2">
        <v>0.76366000000000001</v>
      </c>
    </row>
    <row r="26" spans="2:13" x14ac:dyDescent="0.3">
      <c r="B26" s="27">
        <v>20</v>
      </c>
      <c r="C26" s="2">
        <v>8722.7999999999993</v>
      </c>
      <c r="D26" s="2">
        <v>0.14721000000000001</v>
      </c>
      <c r="E26" s="2">
        <v>0.49119000000000002</v>
      </c>
      <c r="F26" s="2">
        <v>0.81696000000000002</v>
      </c>
      <c r="G26" s="2">
        <v>0.99924999999999997</v>
      </c>
      <c r="H26" s="2">
        <v>1</v>
      </c>
      <c r="I26" s="2">
        <v>0.995</v>
      </c>
      <c r="J26" s="2">
        <v>0.995</v>
      </c>
      <c r="K26" s="2">
        <v>8.2739999999999994E-2</v>
      </c>
      <c r="L26" s="2">
        <v>0.43697999999999998</v>
      </c>
      <c r="M26" s="2">
        <v>0.76217999999999997</v>
      </c>
    </row>
    <row r="27" spans="2:13" x14ac:dyDescent="0.3">
      <c r="B27" s="27">
        <v>21</v>
      </c>
      <c r="C27" s="2">
        <v>9136.26</v>
      </c>
      <c r="D27" s="2">
        <v>0.14099999999999999</v>
      </c>
      <c r="E27" s="2">
        <v>0.47591</v>
      </c>
      <c r="F27" s="2">
        <v>0.81430000000000002</v>
      </c>
      <c r="G27" s="2">
        <v>0.99899000000000004</v>
      </c>
      <c r="H27" s="2">
        <v>1</v>
      </c>
      <c r="I27" s="2">
        <v>0.995</v>
      </c>
      <c r="J27" s="2">
        <v>0.995</v>
      </c>
      <c r="K27" s="2">
        <v>8.319E-2</v>
      </c>
      <c r="L27" s="2">
        <v>0.43257000000000001</v>
      </c>
      <c r="M27" s="2">
        <v>0.76351000000000002</v>
      </c>
    </row>
    <row r="28" spans="2:13" x14ac:dyDescent="0.3">
      <c r="B28" s="27">
        <v>22</v>
      </c>
      <c r="C28" s="2">
        <v>9550.42</v>
      </c>
      <c r="D28" s="2">
        <v>0.13935</v>
      </c>
      <c r="E28" s="2">
        <v>0.45868999999999999</v>
      </c>
      <c r="F28" s="2">
        <v>0.81179000000000001</v>
      </c>
      <c r="G28" s="2">
        <v>0.99929000000000001</v>
      </c>
      <c r="H28" s="2">
        <v>1</v>
      </c>
      <c r="I28" s="2">
        <v>0.995</v>
      </c>
      <c r="J28" s="2">
        <v>0.995</v>
      </c>
      <c r="K28" s="2">
        <v>8.9819999999999997E-2</v>
      </c>
      <c r="L28" s="2">
        <v>0.42687000000000003</v>
      </c>
      <c r="M28" s="2">
        <v>0.76324999999999998</v>
      </c>
    </row>
    <row r="29" spans="2:13" x14ac:dyDescent="0.3">
      <c r="B29" s="27">
        <v>23</v>
      </c>
      <c r="C29" s="2">
        <v>9963.9</v>
      </c>
      <c r="D29" s="2">
        <v>0.14130000000000001</v>
      </c>
      <c r="E29" s="2">
        <v>0.46482000000000001</v>
      </c>
      <c r="F29" s="2">
        <v>0.81486000000000003</v>
      </c>
      <c r="G29" s="2">
        <v>0.99926000000000004</v>
      </c>
      <c r="H29" s="2">
        <v>1</v>
      </c>
      <c r="I29" s="2">
        <v>0.995</v>
      </c>
      <c r="J29" s="2">
        <v>0.995</v>
      </c>
      <c r="K29" s="2">
        <v>8.3729999999999999E-2</v>
      </c>
      <c r="L29" s="2">
        <v>0.42113</v>
      </c>
      <c r="M29" s="2">
        <v>0.76195999999999997</v>
      </c>
    </row>
    <row r="30" spans="2:13" x14ac:dyDescent="0.3">
      <c r="B30" s="27">
        <v>24</v>
      </c>
      <c r="C30" s="2">
        <v>10376.6</v>
      </c>
      <c r="D30" s="2">
        <v>0.14044000000000001</v>
      </c>
      <c r="E30" s="2">
        <v>0.45832000000000001</v>
      </c>
      <c r="F30" s="2">
        <v>0.81506000000000001</v>
      </c>
      <c r="G30" s="2">
        <v>0.99904999999999999</v>
      </c>
      <c r="H30" s="2">
        <v>1</v>
      </c>
      <c r="I30" s="2">
        <v>0.995</v>
      </c>
      <c r="J30" s="2">
        <v>0.995</v>
      </c>
      <c r="K30" s="2">
        <v>8.5529999999999995E-2</v>
      </c>
      <c r="L30" s="2">
        <v>0.41104000000000002</v>
      </c>
      <c r="M30" s="2">
        <v>0.76110999999999995</v>
      </c>
    </row>
    <row r="31" spans="2:13" x14ac:dyDescent="0.3">
      <c r="B31" s="27">
        <v>25</v>
      </c>
      <c r="C31" s="2">
        <v>10789.1</v>
      </c>
      <c r="D31" s="2">
        <v>0.13643</v>
      </c>
      <c r="E31" s="2">
        <v>0.45211000000000001</v>
      </c>
      <c r="F31" s="2">
        <v>0.81366000000000005</v>
      </c>
      <c r="G31" s="2">
        <v>0.99912000000000001</v>
      </c>
      <c r="H31" s="2">
        <v>1</v>
      </c>
      <c r="I31" s="2">
        <v>0.995</v>
      </c>
      <c r="J31" s="2">
        <v>0.995</v>
      </c>
      <c r="K31" s="2">
        <v>8.2849999999999993E-2</v>
      </c>
      <c r="L31" s="2">
        <v>0.40672000000000003</v>
      </c>
      <c r="M31" s="2">
        <v>0.76160000000000005</v>
      </c>
    </row>
    <row r="32" spans="2:13" x14ac:dyDescent="0.3">
      <c r="B32" s="27">
        <v>26</v>
      </c>
      <c r="C32" s="2">
        <v>11203.6</v>
      </c>
      <c r="D32" s="2">
        <v>0.13763</v>
      </c>
      <c r="E32" s="2">
        <v>0.44585999999999998</v>
      </c>
      <c r="F32" s="2">
        <v>0.81591999999999998</v>
      </c>
      <c r="G32" s="2">
        <v>0.99917999999999996</v>
      </c>
      <c r="H32" s="2">
        <v>1</v>
      </c>
      <c r="I32" s="2">
        <v>0.995</v>
      </c>
      <c r="J32" s="2">
        <v>0.995</v>
      </c>
      <c r="K32" s="2">
        <v>8.2600000000000007E-2</v>
      </c>
      <c r="L32" s="2">
        <v>0.40243000000000001</v>
      </c>
      <c r="M32" s="2">
        <v>0.76144999999999996</v>
      </c>
    </row>
    <row r="33" spans="2:18" x14ac:dyDescent="0.3">
      <c r="B33" s="27">
        <v>27</v>
      </c>
      <c r="C33" s="2">
        <v>11619.5</v>
      </c>
      <c r="D33" s="2">
        <v>0.13708000000000001</v>
      </c>
      <c r="E33" s="2">
        <v>0.43647999999999998</v>
      </c>
      <c r="F33" s="2">
        <v>0.81472999999999995</v>
      </c>
      <c r="G33" s="2">
        <v>0.99924000000000002</v>
      </c>
      <c r="H33" s="2">
        <v>1</v>
      </c>
      <c r="I33" s="2">
        <v>0.995</v>
      </c>
      <c r="J33" s="2">
        <v>0.995</v>
      </c>
      <c r="K33" s="2">
        <v>7.9810000000000006E-2</v>
      </c>
      <c r="L33" s="2">
        <v>0.39560000000000001</v>
      </c>
      <c r="M33" s="2">
        <v>0.76022999999999996</v>
      </c>
    </row>
    <row r="34" spans="2:18" x14ac:dyDescent="0.3">
      <c r="B34" s="27">
        <v>28</v>
      </c>
      <c r="C34" s="2">
        <v>12035.5</v>
      </c>
      <c r="D34" s="2">
        <v>0.13671</v>
      </c>
      <c r="E34" s="2">
        <v>0.43597999999999998</v>
      </c>
      <c r="F34" s="2">
        <v>0.81042000000000003</v>
      </c>
      <c r="G34" s="2">
        <v>0.99924000000000002</v>
      </c>
      <c r="H34" s="2">
        <v>1</v>
      </c>
      <c r="I34" s="2">
        <v>0.995</v>
      </c>
      <c r="J34" s="2">
        <v>0.995</v>
      </c>
      <c r="K34" s="2">
        <v>7.9030000000000003E-2</v>
      </c>
      <c r="L34" s="2">
        <v>0.38614999999999999</v>
      </c>
      <c r="M34" s="2">
        <v>0.76132999999999995</v>
      </c>
    </row>
    <row r="35" spans="2:18" x14ac:dyDescent="0.3">
      <c r="B35" s="27">
        <v>29</v>
      </c>
      <c r="C35" s="2">
        <v>12450.6</v>
      </c>
      <c r="D35" s="2">
        <v>0.13141</v>
      </c>
      <c r="E35" s="2">
        <v>0.41244999999999998</v>
      </c>
      <c r="F35" s="2">
        <v>0.81249000000000005</v>
      </c>
      <c r="G35" s="2">
        <v>0.99927999999999995</v>
      </c>
      <c r="H35" s="2">
        <v>1</v>
      </c>
      <c r="I35" s="2">
        <v>0.995</v>
      </c>
      <c r="J35" s="2">
        <v>0.995</v>
      </c>
      <c r="K35" s="2">
        <v>8.0379999999999993E-2</v>
      </c>
      <c r="L35" s="2">
        <v>0.38984999999999997</v>
      </c>
      <c r="M35" s="2">
        <v>0.76154999999999995</v>
      </c>
    </row>
    <row r="36" spans="2:18" x14ac:dyDescent="0.3">
      <c r="B36" s="27">
        <v>30</v>
      </c>
      <c r="C36" s="2">
        <v>12864.8</v>
      </c>
      <c r="D36" s="2">
        <v>0.12909000000000001</v>
      </c>
      <c r="E36" s="2">
        <v>0.41926999999999998</v>
      </c>
      <c r="F36" s="2">
        <v>0.81116999999999995</v>
      </c>
      <c r="G36" s="2">
        <v>0.99907999999999997</v>
      </c>
      <c r="H36" s="2">
        <v>1</v>
      </c>
      <c r="I36" s="2">
        <v>0.995</v>
      </c>
      <c r="J36" s="2">
        <v>0.995</v>
      </c>
      <c r="K36" s="2">
        <v>7.5969999999999996E-2</v>
      </c>
      <c r="L36" s="2">
        <v>0.37658000000000003</v>
      </c>
      <c r="M36" s="2">
        <v>0.76156999999999997</v>
      </c>
    </row>
    <row r="37" spans="2:18" ht="17.25" thickBot="1" x14ac:dyDescent="0.35">
      <c r="B37" s="27">
        <v>31</v>
      </c>
      <c r="C37" s="2">
        <v>13279.1</v>
      </c>
      <c r="D37" s="2">
        <v>0.12937000000000001</v>
      </c>
      <c r="E37" s="2">
        <v>0.40870000000000001</v>
      </c>
      <c r="F37" s="2">
        <v>0.81330000000000002</v>
      </c>
      <c r="G37" s="2">
        <v>0.99875000000000003</v>
      </c>
      <c r="H37" s="2">
        <v>1</v>
      </c>
      <c r="I37" s="2">
        <v>0.995</v>
      </c>
      <c r="J37" s="2">
        <v>0.995</v>
      </c>
      <c r="K37" s="2">
        <v>7.3200000000000001E-2</v>
      </c>
      <c r="L37" s="2">
        <v>0.37328</v>
      </c>
      <c r="M37" s="2">
        <v>0.75970000000000004</v>
      </c>
    </row>
    <row r="38" spans="2:18" ht="17.25" x14ac:dyDescent="0.3">
      <c r="B38" s="27">
        <v>32</v>
      </c>
      <c r="C38" s="2">
        <v>13694.2</v>
      </c>
      <c r="D38" s="2">
        <v>0.12625</v>
      </c>
      <c r="E38" s="2">
        <v>0.39185999999999999</v>
      </c>
      <c r="F38" s="2">
        <v>0.81222000000000005</v>
      </c>
      <c r="G38" s="2">
        <v>0.99927999999999995</v>
      </c>
      <c r="H38" s="2">
        <v>1</v>
      </c>
      <c r="I38" s="2">
        <v>0.995</v>
      </c>
      <c r="J38" s="2">
        <v>0.995</v>
      </c>
      <c r="K38" s="2">
        <v>7.9450000000000007E-2</v>
      </c>
      <c r="L38" s="2">
        <v>0.37302000000000002</v>
      </c>
      <c r="M38" s="2">
        <v>0.75988999999999995</v>
      </c>
      <c r="O38" s="32">
        <v>1</v>
      </c>
      <c r="P38" s="33" t="s">
        <v>33</v>
      </c>
      <c r="Q38" s="33" t="s">
        <v>44</v>
      </c>
      <c r="R38" s="34" t="s">
        <v>43</v>
      </c>
    </row>
    <row r="39" spans="2:18" ht="17.25" x14ac:dyDescent="0.3">
      <c r="B39" s="27">
        <v>33</v>
      </c>
      <c r="C39" s="2">
        <v>14109.5</v>
      </c>
      <c r="D39" s="2">
        <v>0.12667</v>
      </c>
      <c r="E39" s="2">
        <v>0.4007</v>
      </c>
      <c r="F39" s="2">
        <v>0.81154999999999999</v>
      </c>
      <c r="G39" s="2">
        <v>0.99922999999999995</v>
      </c>
      <c r="H39" s="2">
        <v>1</v>
      </c>
      <c r="I39" s="2">
        <v>0.995</v>
      </c>
      <c r="J39" s="2">
        <v>0.995</v>
      </c>
      <c r="K39" s="2">
        <v>7.5550000000000006E-2</v>
      </c>
      <c r="L39" s="2">
        <v>0.36251</v>
      </c>
      <c r="M39" s="2">
        <v>0.75968999999999998</v>
      </c>
      <c r="O39" s="35">
        <v>2</v>
      </c>
      <c r="P39" s="36" t="s">
        <v>34</v>
      </c>
      <c r="Q39" s="36" t="s">
        <v>45</v>
      </c>
      <c r="R39" s="37" t="s">
        <v>46</v>
      </c>
    </row>
    <row r="40" spans="2:18" ht="17.25" x14ac:dyDescent="0.3">
      <c r="B40" s="27">
        <v>34</v>
      </c>
      <c r="C40" s="2">
        <v>14497.2</v>
      </c>
      <c r="D40" s="2">
        <v>0.12609000000000001</v>
      </c>
      <c r="E40" s="2">
        <v>0.39637</v>
      </c>
      <c r="F40" s="2">
        <v>0.81083000000000005</v>
      </c>
      <c r="G40" s="2">
        <v>0.99931999999999999</v>
      </c>
      <c r="H40" s="2">
        <v>1</v>
      </c>
      <c r="I40" s="2">
        <v>0.995</v>
      </c>
      <c r="J40" s="2">
        <v>0.995</v>
      </c>
      <c r="K40" s="2">
        <v>7.7429999999999999E-2</v>
      </c>
      <c r="L40" s="2">
        <v>0.36416999999999999</v>
      </c>
      <c r="M40" s="2">
        <v>0.76076999999999995</v>
      </c>
      <c r="O40" s="35">
        <v>3</v>
      </c>
      <c r="P40" s="36" t="s">
        <v>35</v>
      </c>
      <c r="Q40" s="36" t="s">
        <v>51</v>
      </c>
      <c r="R40" s="37" t="s">
        <v>50</v>
      </c>
    </row>
    <row r="41" spans="2:18" ht="17.25" x14ac:dyDescent="0.3">
      <c r="B41" s="27">
        <v>35</v>
      </c>
      <c r="C41" s="2">
        <v>14830.2</v>
      </c>
      <c r="D41" s="2">
        <v>0.12554000000000001</v>
      </c>
      <c r="E41" s="2">
        <v>0.38691999999999999</v>
      </c>
      <c r="F41" s="2">
        <v>0.80771000000000004</v>
      </c>
      <c r="G41" s="2">
        <v>0.99924000000000002</v>
      </c>
      <c r="H41" s="2">
        <v>1</v>
      </c>
      <c r="I41" s="2">
        <v>0.995</v>
      </c>
      <c r="J41" s="2">
        <v>0.995</v>
      </c>
      <c r="K41" s="2">
        <v>7.2989999999999999E-2</v>
      </c>
      <c r="L41" s="2">
        <v>0.35847000000000001</v>
      </c>
      <c r="M41" s="2">
        <v>0.76095999999999997</v>
      </c>
      <c r="O41" s="35">
        <v>4</v>
      </c>
      <c r="P41" s="36" t="s">
        <v>36</v>
      </c>
      <c r="Q41" s="36" t="s">
        <v>47</v>
      </c>
      <c r="R41" s="37" t="s">
        <v>48</v>
      </c>
    </row>
    <row r="42" spans="2:18" ht="17.25" x14ac:dyDescent="0.3">
      <c r="B42" s="27">
        <v>36</v>
      </c>
      <c r="C42" s="2">
        <v>15247.1</v>
      </c>
      <c r="D42" s="2">
        <v>0.12468</v>
      </c>
      <c r="E42" s="2">
        <v>0.38141999999999998</v>
      </c>
      <c r="F42" s="2">
        <v>0.81133</v>
      </c>
      <c r="G42" s="2">
        <v>0.99917999999999996</v>
      </c>
      <c r="H42" s="2">
        <v>1</v>
      </c>
      <c r="I42" s="2">
        <v>0.995</v>
      </c>
      <c r="J42" s="2">
        <v>0.995</v>
      </c>
      <c r="K42" s="2">
        <v>7.3400000000000007E-2</v>
      </c>
      <c r="L42" s="2">
        <v>0.35848999999999998</v>
      </c>
      <c r="M42" s="2">
        <v>0.76066</v>
      </c>
      <c r="O42" s="35">
        <v>5</v>
      </c>
      <c r="P42" s="36" t="s">
        <v>37</v>
      </c>
      <c r="Q42" s="36" t="s">
        <v>49</v>
      </c>
      <c r="R42" s="37" t="s">
        <v>54</v>
      </c>
    </row>
    <row r="43" spans="2:18" ht="17.25" x14ac:dyDescent="0.3">
      <c r="B43" s="27">
        <v>37</v>
      </c>
      <c r="C43" s="2">
        <v>15660.9</v>
      </c>
      <c r="D43" s="2">
        <v>0.125</v>
      </c>
      <c r="E43" s="2">
        <v>0.38768000000000002</v>
      </c>
      <c r="F43" s="2">
        <v>0.81128</v>
      </c>
      <c r="G43" s="2">
        <v>0.99929999999999997</v>
      </c>
      <c r="H43" s="2">
        <v>1</v>
      </c>
      <c r="I43" s="2">
        <v>0.995</v>
      </c>
      <c r="J43" s="2">
        <v>0.995</v>
      </c>
      <c r="K43" s="2">
        <v>7.3800000000000004E-2</v>
      </c>
      <c r="L43" s="2">
        <v>0.35327999999999998</v>
      </c>
      <c r="M43" s="2">
        <v>0.76078000000000001</v>
      </c>
      <c r="O43" s="35">
        <v>6</v>
      </c>
      <c r="P43" s="36" t="s">
        <v>38</v>
      </c>
      <c r="Q43" s="36" t="s">
        <v>44</v>
      </c>
      <c r="R43" s="37" t="s">
        <v>43</v>
      </c>
    </row>
    <row r="44" spans="2:18" ht="17.25" x14ac:dyDescent="0.3">
      <c r="B44" s="27">
        <v>38</v>
      </c>
      <c r="C44" s="2">
        <v>16058.8</v>
      </c>
      <c r="D44" s="2">
        <v>0.12103999999999999</v>
      </c>
      <c r="E44" s="2">
        <v>0.37345</v>
      </c>
      <c r="F44" s="2">
        <v>0.80830999999999997</v>
      </c>
      <c r="G44" s="2">
        <v>0.99924999999999997</v>
      </c>
      <c r="H44" s="2">
        <v>1</v>
      </c>
      <c r="I44" s="2">
        <v>0.995</v>
      </c>
      <c r="J44" s="2">
        <v>0.995</v>
      </c>
      <c r="K44" s="2">
        <v>7.177E-2</v>
      </c>
      <c r="L44" s="2">
        <v>0.3483</v>
      </c>
      <c r="M44" s="2">
        <v>0.76078999999999997</v>
      </c>
      <c r="O44" s="35">
        <v>7</v>
      </c>
      <c r="P44" s="36" t="s">
        <v>39</v>
      </c>
      <c r="Q44" s="36" t="s">
        <v>45</v>
      </c>
      <c r="R44" s="37" t="s">
        <v>46</v>
      </c>
    </row>
    <row r="45" spans="2:18" ht="17.25" x14ac:dyDescent="0.3">
      <c r="B45" s="27">
        <v>39</v>
      </c>
      <c r="C45" s="2">
        <v>16456.8</v>
      </c>
      <c r="D45" s="2">
        <v>0.12169000000000001</v>
      </c>
      <c r="E45" s="2">
        <v>0.37158999999999998</v>
      </c>
      <c r="F45" s="2">
        <v>0.81023999999999996</v>
      </c>
      <c r="G45" s="2">
        <v>0.99934000000000001</v>
      </c>
      <c r="H45" s="2">
        <v>1</v>
      </c>
      <c r="I45" s="2">
        <v>0.995</v>
      </c>
      <c r="J45" s="2">
        <v>0.995</v>
      </c>
      <c r="K45" s="2">
        <v>7.2309999999999999E-2</v>
      </c>
      <c r="L45" s="2">
        <v>0.33738000000000001</v>
      </c>
      <c r="M45" s="2">
        <v>0.76160000000000005</v>
      </c>
      <c r="O45" s="35">
        <v>8</v>
      </c>
      <c r="P45" s="36" t="s">
        <v>40</v>
      </c>
      <c r="Q45" s="36" t="s">
        <v>51</v>
      </c>
      <c r="R45" s="37" t="s">
        <v>50</v>
      </c>
    </row>
    <row r="46" spans="2:18" ht="17.25" x14ac:dyDescent="0.3">
      <c r="B46" s="27">
        <v>40</v>
      </c>
      <c r="C46" s="2">
        <v>16855.599999999999</v>
      </c>
      <c r="D46" s="2">
        <v>0.11901</v>
      </c>
      <c r="E46" s="2">
        <v>0.36298000000000002</v>
      </c>
      <c r="F46" s="2">
        <v>0.81111999999999995</v>
      </c>
      <c r="G46" s="2">
        <v>0.99927999999999995</v>
      </c>
      <c r="H46" s="2">
        <v>1</v>
      </c>
      <c r="I46" s="2">
        <v>0.995</v>
      </c>
      <c r="J46" s="2">
        <v>0.995</v>
      </c>
      <c r="K46" s="2">
        <v>7.0349999999999996E-2</v>
      </c>
      <c r="L46" s="2">
        <v>0.33539000000000002</v>
      </c>
      <c r="M46" s="2">
        <v>0.76117000000000001</v>
      </c>
      <c r="O46" s="35">
        <v>9</v>
      </c>
      <c r="P46" s="36" t="s">
        <v>41</v>
      </c>
      <c r="Q46" s="36" t="s">
        <v>52</v>
      </c>
      <c r="R46" s="37" t="s">
        <v>55</v>
      </c>
    </row>
    <row r="47" spans="2:18" ht="18" thickBot="1" x14ac:dyDescent="0.35">
      <c r="B47" s="27">
        <v>41</v>
      </c>
      <c r="C47" s="2">
        <v>17256.400000000001</v>
      </c>
      <c r="D47" s="2">
        <v>0.1197</v>
      </c>
      <c r="E47" s="2">
        <v>0.36465999999999998</v>
      </c>
      <c r="F47" s="2">
        <v>0.81088000000000005</v>
      </c>
      <c r="G47" s="2">
        <v>0.99929000000000001</v>
      </c>
      <c r="H47" s="2">
        <v>1</v>
      </c>
      <c r="I47" s="2">
        <v>0.995</v>
      </c>
      <c r="J47" s="2">
        <v>0.995</v>
      </c>
      <c r="K47" s="2">
        <v>7.46E-2</v>
      </c>
      <c r="L47" s="2">
        <v>0.33323999999999998</v>
      </c>
      <c r="M47" s="2">
        <v>0.76151000000000002</v>
      </c>
      <c r="O47" s="38">
        <v>10</v>
      </c>
      <c r="P47" s="39" t="s">
        <v>42</v>
      </c>
      <c r="Q47" s="39" t="s">
        <v>53</v>
      </c>
      <c r="R47" s="40" t="s">
        <v>56</v>
      </c>
    </row>
    <row r="48" spans="2:18" x14ac:dyDescent="0.3">
      <c r="B48" s="27">
        <v>42</v>
      </c>
      <c r="C48" s="2">
        <v>17658.5</v>
      </c>
      <c r="D48" s="2">
        <v>0.11856999999999999</v>
      </c>
      <c r="E48" s="2">
        <v>0.35743999999999998</v>
      </c>
      <c r="F48" s="2">
        <v>0.80733999999999995</v>
      </c>
      <c r="G48" s="2">
        <v>0.99931000000000003</v>
      </c>
      <c r="H48" s="2">
        <v>1</v>
      </c>
      <c r="I48" s="2">
        <v>0.995</v>
      </c>
      <c r="J48" s="2">
        <v>0.995</v>
      </c>
      <c r="K48" s="2">
        <v>7.1040000000000006E-2</v>
      </c>
      <c r="L48" s="2">
        <v>0.32937</v>
      </c>
      <c r="M48" s="2">
        <v>0.76036999999999999</v>
      </c>
    </row>
    <row r="49" spans="2:13" x14ac:dyDescent="0.3">
      <c r="B49" s="27">
        <v>43</v>
      </c>
      <c r="C49" s="2">
        <v>18061</v>
      </c>
      <c r="D49" s="2">
        <v>0.11824999999999999</v>
      </c>
      <c r="E49" s="2">
        <v>0.35993999999999998</v>
      </c>
      <c r="F49" s="2">
        <v>0.80994999999999995</v>
      </c>
      <c r="G49" s="2">
        <v>0.99926000000000004</v>
      </c>
      <c r="H49" s="2">
        <v>1</v>
      </c>
      <c r="I49" s="2">
        <v>0.995</v>
      </c>
      <c r="J49" s="2">
        <v>0.995</v>
      </c>
      <c r="K49" s="2">
        <v>7.1660000000000001E-2</v>
      </c>
      <c r="L49" s="2">
        <v>0.32730999999999999</v>
      </c>
      <c r="M49" s="2">
        <v>0.76105</v>
      </c>
    </row>
    <row r="50" spans="2:13" x14ac:dyDescent="0.3">
      <c r="B50" s="27">
        <v>44</v>
      </c>
      <c r="C50" s="2">
        <v>18467.3</v>
      </c>
      <c r="D50" s="2">
        <v>0.11659</v>
      </c>
      <c r="E50" s="2">
        <v>0.35031000000000001</v>
      </c>
      <c r="F50" s="2">
        <v>0.80811999999999995</v>
      </c>
      <c r="G50" s="2">
        <v>0.99931000000000003</v>
      </c>
      <c r="H50" s="2">
        <v>1</v>
      </c>
      <c r="I50" s="2">
        <v>0.995</v>
      </c>
      <c r="J50" s="2">
        <v>0.995</v>
      </c>
      <c r="K50" s="2">
        <v>6.8860000000000005E-2</v>
      </c>
      <c r="L50" s="2">
        <v>0.32423999999999997</v>
      </c>
      <c r="M50" s="2">
        <v>0.76046999999999998</v>
      </c>
    </row>
    <row r="51" spans="2:13" x14ac:dyDescent="0.3">
      <c r="B51" s="27">
        <v>45</v>
      </c>
      <c r="C51" s="2">
        <v>18873.400000000001</v>
      </c>
      <c r="D51" s="2">
        <v>0.11753</v>
      </c>
      <c r="E51" s="2">
        <v>0.35387000000000002</v>
      </c>
      <c r="F51" s="2">
        <v>0.80798000000000003</v>
      </c>
      <c r="G51" s="2">
        <v>0.99934000000000001</v>
      </c>
      <c r="H51" s="2">
        <v>1</v>
      </c>
      <c r="I51" s="2">
        <v>0.995</v>
      </c>
      <c r="J51" s="2">
        <v>0.995</v>
      </c>
      <c r="K51" s="2">
        <v>6.9760000000000003E-2</v>
      </c>
      <c r="L51" s="2">
        <v>0.31853999999999999</v>
      </c>
      <c r="M51" s="2">
        <v>0.76051000000000002</v>
      </c>
    </row>
    <row r="52" spans="2:13" x14ac:dyDescent="0.3">
      <c r="B52" s="27">
        <v>46</v>
      </c>
      <c r="C52" s="2">
        <v>19275.7</v>
      </c>
      <c r="D52" s="2">
        <v>0.11736000000000001</v>
      </c>
      <c r="E52" s="2">
        <v>0.34666000000000002</v>
      </c>
      <c r="F52" s="2">
        <v>0.80881999999999998</v>
      </c>
      <c r="G52" s="2">
        <v>0.99929000000000001</v>
      </c>
      <c r="H52" s="2">
        <v>1</v>
      </c>
      <c r="I52" s="2">
        <v>0.995</v>
      </c>
      <c r="J52" s="2">
        <v>0.995</v>
      </c>
      <c r="K52" s="2">
        <v>7.2099999999999997E-2</v>
      </c>
      <c r="L52" s="2">
        <v>0.31639</v>
      </c>
      <c r="M52" s="2">
        <v>0.76122000000000001</v>
      </c>
    </row>
    <row r="53" spans="2:13" x14ac:dyDescent="0.3">
      <c r="B53" s="27">
        <v>47</v>
      </c>
      <c r="C53" s="2">
        <v>19676.2</v>
      </c>
      <c r="D53" s="2">
        <v>0.11537</v>
      </c>
      <c r="E53" s="2">
        <v>0.34565000000000001</v>
      </c>
      <c r="F53" s="2">
        <v>0.80978000000000006</v>
      </c>
      <c r="G53" s="2">
        <v>0.99934999999999996</v>
      </c>
      <c r="H53" s="2">
        <v>1</v>
      </c>
      <c r="I53" s="2">
        <v>0.995</v>
      </c>
      <c r="J53" s="2">
        <v>0.995</v>
      </c>
      <c r="K53" s="2">
        <v>6.9819999999999993E-2</v>
      </c>
      <c r="L53" s="2">
        <v>0.31492999999999999</v>
      </c>
      <c r="M53" s="2">
        <v>0.76119999999999999</v>
      </c>
    </row>
    <row r="54" spans="2:13" x14ac:dyDescent="0.3">
      <c r="B54" s="27">
        <v>48</v>
      </c>
      <c r="C54" s="2">
        <v>20075.5</v>
      </c>
      <c r="D54" s="2">
        <v>0.11232</v>
      </c>
      <c r="E54" s="2">
        <v>0.33232</v>
      </c>
      <c r="F54" s="2">
        <v>0.80654000000000003</v>
      </c>
      <c r="G54" s="2">
        <v>0.99934000000000001</v>
      </c>
      <c r="H54" s="2">
        <v>1</v>
      </c>
      <c r="I54" s="2">
        <v>0.995</v>
      </c>
      <c r="J54" s="2">
        <v>0.995</v>
      </c>
      <c r="K54" s="2">
        <v>6.7470000000000002E-2</v>
      </c>
      <c r="L54" s="2">
        <v>0.31240000000000001</v>
      </c>
      <c r="M54" s="2">
        <v>0.76083000000000001</v>
      </c>
    </row>
    <row r="55" spans="2:13" x14ac:dyDescent="0.3">
      <c r="B55" s="27">
        <v>49</v>
      </c>
      <c r="C55" s="2">
        <v>20474.099999999999</v>
      </c>
      <c r="D55" s="2">
        <v>0.11322</v>
      </c>
      <c r="E55" s="2">
        <v>0.34038000000000002</v>
      </c>
      <c r="F55" s="2">
        <v>0.80942999999999998</v>
      </c>
      <c r="G55" s="2">
        <v>0.99927999999999995</v>
      </c>
      <c r="H55" s="2">
        <v>1</v>
      </c>
      <c r="I55" s="2">
        <v>0.995</v>
      </c>
      <c r="J55" s="2">
        <v>0.995</v>
      </c>
      <c r="K55" s="2">
        <v>6.8750000000000006E-2</v>
      </c>
      <c r="L55" s="2">
        <v>0.30987999999999999</v>
      </c>
      <c r="M55" s="2">
        <v>0.76107000000000002</v>
      </c>
    </row>
    <row r="56" spans="2:13" x14ac:dyDescent="0.3">
      <c r="B56" s="27">
        <v>50</v>
      </c>
      <c r="C56" s="2">
        <v>20873.599999999999</v>
      </c>
      <c r="D56" s="2">
        <v>0.11592</v>
      </c>
      <c r="E56" s="2">
        <v>0.33854000000000001</v>
      </c>
      <c r="F56" s="2">
        <v>0.81140000000000001</v>
      </c>
      <c r="G56" s="2">
        <v>0.99936999999999998</v>
      </c>
      <c r="H56" s="2">
        <v>1</v>
      </c>
      <c r="I56" s="2">
        <v>0.995</v>
      </c>
      <c r="J56" s="2">
        <v>0.995</v>
      </c>
      <c r="K56" s="2">
        <v>7.0029999999999995E-2</v>
      </c>
      <c r="L56" s="2">
        <v>0.30830999999999997</v>
      </c>
      <c r="M56" s="2">
        <v>0.76083000000000001</v>
      </c>
    </row>
    <row r="57" spans="2:13" x14ac:dyDescent="0.3">
      <c r="B57" s="27">
        <v>51</v>
      </c>
      <c r="C57" s="2">
        <v>21272.799999999999</v>
      </c>
      <c r="D57" s="2">
        <v>0.11395</v>
      </c>
      <c r="E57" s="2">
        <v>0.33756000000000003</v>
      </c>
      <c r="F57" s="2">
        <v>0.80817000000000005</v>
      </c>
      <c r="G57" s="2">
        <v>0.99931000000000003</v>
      </c>
      <c r="H57" s="2">
        <v>1</v>
      </c>
      <c r="I57" s="2">
        <v>0.995</v>
      </c>
      <c r="J57" s="2">
        <v>0.995</v>
      </c>
      <c r="K57" s="2">
        <v>6.7599999999999993E-2</v>
      </c>
      <c r="L57" s="2">
        <v>0.30975999999999998</v>
      </c>
      <c r="M57" s="2">
        <v>0.76043000000000005</v>
      </c>
    </row>
    <row r="58" spans="2:13" x14ac:dyDescent="0.3">
      <c r="B58" s="27">
        <v>52</v>
      </c>
      <c r="C58" s="2">
        <v>21671</v>
      </c>
      <c r="D58" s="2">
        <v>0.11071</v>
      </c>
      <c r="E58" s="2">
        <v>0.32919999999999999</v>
      </c>
      <c r="F58" s="2">
        <v>0.80623999999999996</v>
      </c>
      <c r="G58" s="2">
        <v>0.99934000000000001</v>
      </c>
      <c r="H58" s="2">
        <v>1</v>
      </c>
      <c r="I58" s="2">
        <v>0.995</v>
      </c>
      <c r="J58" s="2">
        <v>0.995</v>
      </c>
      <c r="K58" s="2">
        <v>6.7580000000000001E-2</v>
      </c>
      <c r="L58" s="2">
        <v>0.30481999999999998</v>
      </c>
      <c r="M58" s="2">
        <v>0.76032999999999995</v>
      </c>
    </row>
    <row r="59" spans="2:13" x14ac:dyDescent="0.3">
      <c r="B59" s="27">
        <v>53</v>
      </c>
      <c r="C59" s="2">
        <v>22069.7</v>
      </c>
      <c r="D59" s="2">
        <v>0.11024</v>
      </c>
      <c r="E59" s="2">
        <v>0.32461000000000001</v>
      </c>
      <c r="F59" s="2">
        <v>0.80803999999999998</v>
      </c>
      <c r="G59" s="2">
        <v>0.99933000000000005</v>
      </c>
      <c r="H59" s="2">
        <v>1</v>
      </c>
      <c r="I59" s="2">
        <v>0.995</v>
      </c>
      <c r="J59" s="2">
        <v>0.995</v>
      </c>
      <c r="K59" s="2">
        <v>6.7599999999999993E-2</v>
      </c>
      <c r="L59" s="2">
        <v>0.30402000000000001</v>
      </c>
      <c r="M59" s="2">
        <v>0.76076999999999995</v>
      </c>
    </row>
    <row r="60" spans="2:13" x14ac:dyDescent="0.3">
      <c r="B60" s="27">
        <v>54</v>
      </c>
      <c r="C60" s="2">
        <v>22467.9</v>
      </c>
      <c r="D60" s="2">
        <v>0.10871</v>
      </c>
      <c r="E60" s="2">
        <v>0.32008999999999999</v>
      </c>
      <c r="F60" s="2">
        <v>0.80347999999999997</v>
      </c>
      <c r="G60" s="2">
        <v>0.99927999999999995</v>
      </c>
      <c r="H60" s="2">
        <v>1</v>
      </c>
      <c r="I60" s="2">
        <v>0.995</v>
      </c>
      <c r="J60" s="2">
        <v>0.995</v>
      </c>
      <c r="K60" s="2">
        <v>6.898E-2</v>
      </c>
      <c r="L60" s="2">
        <v>0.29868</v>
      </c>
      <c r="M60" s="2">
        <v>0.76100999999999996</v>
      </c>
    </row>
    <row r="61" spans="2:13" x14ac:dyDescent="0.3">
      <c r="B61" s="27">
        <v>55</v>
      </c>
      <c r="C61" s="2">
        <v>22863.9</v>
      </c>
      <c r="D61" s="2">
        <v>0.10883</v>
      </c>
      <c r="E61" s="2">
        <v>0.32422000000000001</v>
      </c>
      <c r="F61" s="2">
        <v>0.80801000000000001</v>
      </c>
      <c r="G61" s="2">
        <v>0.99929000000000001</v>
      </c>
      <c r="H61" s="2">
        <v>1</v>
      </c>
      <c r="I61" s="2">
        <v>0.995</v>
      </c>
      <c r="J61" s="2">
        <v>0.995</v>
      </c>
      <c r="K61" s="2">
        <v>6.8589999999999998E-2</v>
      </c>
      <c r="L61" s="2">
        <v>0.29907</v>
      </c>
      <c r="M61" s="2">
        <v>0.76024999999999998</v>
      </c>
    </row>
    <row r="62" spans="2:13" x14ac:dyDescent="0.3">
      <c r="B62" s="27">
        <v>56</v>
      </c>
      <c r="C62" s="2">
        <v>23259.8</v>
      </c>
      <c r="D62" s="2">
        <v>0.11092</v>
      </c>
      <c r="E62" s="2">
        <v>0.31978000000000001</v>
      </c>
      <c r="F62" s="2">
        <v>0.81015999999999999</v>
      </c>
      <c r="G62" s="2">
        <v>0.99922999999999995</v>
      </c>
      <c r="H62" s="2">
        <v>1</v>
      </c>
      <c r="I62" s="2">
        <v>0.995</v>
      </c>
      <c r="J62" s="2">
        <v>0.995</v>
      </c>
      <c r="K62" s="2">
        <v>6.7379999999999995E-2</v>
      </c>
      <c r="L62" s="2">
        <v>0.29919000000000001</v>
      </c>
      <c r="M62" s="2">
        <v>0.75883999999999996</v>
      </c>
    </row>
    <row r="63" spans="2:13" x14ac:dyDescent="0.3">
      <c r="B63" s="27">
        <v>57</v>
      </c>
      <c r="C63" s="2">
        <v>23655.8</v>
      </c>
      <c r="D63" s="2">
        <v>0.10732</v>
      </c>
      <c r="E63" s="2">
        <v>0.31641999999999998</v>
      </c>
      <c r="F63" s="2">
        <v>0.80591999999999997</v>
      </c>
      <c r="G63" s="2">
        <v>0.99926999999999999</v>
      </c>
      <c r="H63" s="2">
        <v>1</v>
      </c>
      <c r="I63" s="2">
        <v>0.995</v>
      </c>
      <c r="J63" s="2">
        <v>0.995</v>
      </c>
      <c r="K63" s="2">
        <v>6.4430000000000001E-2</v>
      </c>
      <c r="L63" s="2">
        <v>0.29211999999999999</v>
      </c>
      <c r="M63" s="2">
        <v>0.75878999999999996</v>
      </c>
    </row>
    <row r="64" spans="2:13" x14ac:dyDescent="0.3">
      <c r="B64" s="27">
        <v>58</v>
      </c>
      <c r="C64" s="2">
        <v>24053.8</v>
      </c>
      <c r="D64" s="2">
        <v>0.10779</v>
      </c>
      <c r="E64" s="2">
        <v>0.31552999999999998</v>
      </c>
      <c r="F64" s="2">
        <v>0.80698999999999999</v>
      </c>
      <c r="G64" s="2">
        <v>0.99931999999999999</v>
      </c>
      <c r="H64" s="2">
        <v>1</v>
      </c>
      <c r="I64" s="2">
        <v>0.995</v>
      </c>
      <c r="J64" s="2">
        <v>0.995</v>
      </c>
      <c r="K64" s="2">
        <v>6.8129999999999996E-2</v>
      </c>
      <c r="L64" s="2">
        <v>0.29025000000000001</v>
      </c>
      <c r="M64" s="2">
        <v>0.76000999999999996</v>
      </c>
    </row>
    <row r="65" spans="2:13" x14ac:dyDescent="0.3">
      <c r="B65" s="27">
        <v>59</v>
      </c>
      <c r="C65" s="2">
        <v>24451.5</v>
      </c>
      <c r="D65" s="2">
        <v>0.10877000000000001</v>
      </c>
      <c r="E65" s="2">
        <v>0.32153999999999999</v>
      </c>
      <c r="F65" s="2">
        <v>0.80469000000000002</v>
      </c>
      <c r="G65" s="2">
        <v>0.99929000000000001</v>
      </c>
      <c r="H65" s="2">
        <v>1</v>
      </c>
      <c r="I65" s="2">
        <v>0.995</v>
      </c>
      <c r="J65" s="2">
        <v>0.995</v>
      </c>
      <c r="K65" s="2">
        <v>6.762E-2</v>
      </c>
      <c r="L65" s="2">
        <v>0.28810000000000002</v>
      </c>
      <c r="M65" s="2">
        <v>0.76039000000000001</v>
      </c>
    </row>
    <row r="66" spans="2:13" x14ac:dyDescent="0.3">
      <c r="B66" s="27">
        <v>60</v>
      </c>
      <c r="C66" s="2">
        <v>24847.599999999999</v>
      </c>
      <c r="D66" s="2">
        <v>0.10722</v>
      </c>
      <c r="E66" s="2">
        <v>0.31006</v>
      </c>
      <c r="F66" s="2">
        <v>0.80632000000000004</v>
      </c>
      <c r="G66" s="2">
        <v>0.99922</v>
      </c>
      <c r="H66" s="2">
        <v>1</v>
      </c>
      <c r="I66" s="2">
        <v>0.995</v>
      </c>
      <c r="J66" s="2">
        <v>0.995</v>
      </c>
      <c r="K66" s="2">
        <v>6.6049999999999998E-2</v>
      </c>
      <c r="L66" s="2">
        <v>0.28677000000000002</v>
      </c>
      <c r="M66" s="2">
        <v>0.76063000000000003</v>
      </c>
    </row>
    <row r="67" spans="2:13" x14ac:dyDescent="0.3">
      <c r="B67" s="27">
        <v>61</v>
      </c>
      <c r="C67" s="2">
        <v>25243.599999999999</v>
      </c>
      <c r="D67" s="2">
        <v>0.10753</v>
      </c>
      <c r="E67" s="2">
        <v>0.31497999999999998</v>
      </c>
      <c r="F67" s="2">
        <v>0.80418000000000001</v>
      </c>
      <c r="G67" s="2">
        <v>0.99929000000000001</v>
      </c>
      <c r="H67" s="2">
        <v>1</v>
      </c>
      <c r="I67" s="2">
        <v>0.995</v>
      </c>
      <c r="J67" s="2">
        <v>0.995</v>
      </c>
      <c r="K67" s="2">
        <v>6.6659999999999997E-2</v>
      </c>
      <c r="L67" s="2">
        <v>0.28359000000000001</v>
      </c>
      <c r="M67" s="2">
        <v>0.75973000000000002</v>
      </c>
    </row>
    <row r="68" spans="2:13" x14ac:dyDescent="0.3">
      <c r="B68" s="27">
        <v>62</v>
      </c>
      <c r="C68" s="2">
        <v>25638.7</v>
      </c>
      <c r="D68" s="2">
        <v>0.10511</v>
      </c>
      <c r="E68" s="2">
        <v>0.31446000000000002</v>
      </c>
      <c r="F68" s="2">
        <v>0.80920999999999998</v>
      </c>
      <c r="G68" s="2">
        <v>0.99929000000000001</v>
      </c>
      <c r="H68" s="2">
        <v>1</v>
      </c>
      <c r="I68" s="2">
        <v>0.995</v>
      </c>
      <c r="J68" s="2">
        <v>0.995</v>
      </c>
      <c r="K68" s="2">
        <v>6.4509999999999998E-2</v>
      </c>
      <c r="L68" s="2">
        <v>0.27715000000000001</v>
      </c>
      <c r="M68" s="2">
        <v>0.75992999999999999</v>
      </c>
    </row>
    <row r="69" spans="2:13" x14ac:dyDescent="0.3">
      <c r="B69" s="27">
        <v>63</v>
      </c>
      <c r="C69" s="2">
        <v>26034.2</v>
      </c>
      <c r="D69" s="2">
        <v>0.106</v>
      </c>
      <c r="E69" s="2">
        <v>0.31133</v>
      </c>
      <c r="F69" s="2">
        <v>0.80728999999999995</v>
      </c>
      <c r="G69" s="2">
        <v>0.99934000000000001</v>
      </c>
      <c r="H69" s="2">
        <v>1</v>
      </c>
      <c r="I69" s="2">
        <v>0.995</v>
      </c>
      <c r="J69" s="2">
        <v>0.995</v>
      </c>
      <c r="K69" s="2">
        <v>6.4740000000000006E-2</v>
      </c>
      <c r="L69" s="2">
        <v>0.27446999999999999</v>
      </c>
      <c r="M69" s="2">
        <v>0.75988999999999995</v>
      </c>
    </row>
    <row r="70" spans="2:13" x14ac:dyDescent="0.3">
      <c r="B70" s="27">
        <v>64</v>
      </c>
      <c r="C70" s="2">
        <v>26430.2</v>
      </c>
      <c r="D70" s="2">
        <v>0.10595</v>
      </c>
      <c r="E70" s="2">
        <v>0.30351</v>
      </c>
      <c r="F70" s="2">
        <v>0.80571999999999999</v>
      </c>
      <c r="G70" s="2">
        <v>0.99926000000000004</v>
      </c>
      <c r="H70" s="2">
        <v>1</v>
      </c>
      <c r="I70" s="2">
        <v>0.995</v>
      </c>
      <c r="J70" s="2">
        <v>0.995</v>
      </c>
      <c r="K70" s="2">
        <v>6.3799999999999996E-2</v>
      </c>
      <c r="L70" s="2">
        <v>0.27378999999999998</v>
      </c>
      <c r="M70" s="2">
        <v>0.75985999999999998</v>
      </c>
    </row>
    <row r="71" spans="2:13" x14ac:dyDescent="0.3">
      <c r="B71" s="27">
        <v>65</v>
      </c>
      <c r="C71" s="2">
        <v>26825</v>
      </c>
      <c r="D71" s="2">
        <v>0.10231999999999999</v>
      </c>
      <c r="E71" s="2">
        <v>0.30031000000000002</v>
      </c>
      <c r="F71" s="2">
        <v>0.80223</v>
      </c>
      <c r="G71" s="2">
        <v>0.99929999999999997</v>
      </c>
      <c r="H71" s="2">
        <v>1</v>
      </c>
      <c r="I71" s="2">
        <v>0.995</v>
      </c>
      <c r="J71" s="2">
        <v>0.995</v>
      </c>
      <c r="K71" s="2">
        <v>6.2480000000000001E-2</v>
      </c>
      <c r="L71" s="2">
        <v>0.27168999999999999</v>
      </c>
      <c r="M71" s="2">
        <v>0.75973999999999997</v>
      </c>
    </row>
    <row r="72" spans="2:13" x14ac:dyDescent="0.3">
      <c r="B72" s="27">
        <v>66</v>
      </c>
      <c r="C72" s="2">
        <v>27223.4</v>
      </c>
      <c r="D72" s="2">
        <v>0.10426000000000001</v>
      </c>
      <c r="E72" s="2">
        <v>0.29938999999999999</v>
      </c>
      <c r="F72" s="2">
        <v>0.80511999999999995</v>
      </c>
      <c r="G72" s="2">
        <v>0.99934999999999996</v>
      </c>
      <c r="H72" s="2">
        <v>1</v>
      </c>
      <c r="I72" s="2">
        <v>0.995</v>
      </c>
      <c r="J72" s="2">
        <v>0.995</v>
      </c>
      <c r="K72" s="2">
        <v>6.3140000000000002E-2</v>
      </c>
      <c r="L72" s="2">
        <v>0.27367000000000002</v>
      </c>
      <c r="M72" s="2">
        <v>0.75982000000000005</v>
      </c>
    </row>
    <row r="73" spans="2:13" x14ac:dyDescent="0.3">
      <c r="B73" s="27">
        <v>67</v>
      </c>
      <c r="C73" s="2">
        <v>27621.4</v>
      </c>
      <c r="D73" s="2">
        <v>0.10266</v>
      </c>
      <c r="E73" s="2">
        <v>0.30324000000000001</v>
      </c>
      <c r="F73" s="2">
        <v>0.80806</v>
      </c>
      <c r="G73" s="2">
        <v>0.99934999999999996</v>
      </c>
      <c r="H73" s="2">
        <v>1</v>
      </c>
      <c r="I73" s="2">
        <v>0.995</v>
      </c>
      <c r="J73" s="2">
        <v>0.995</v>
      </c>
      <c r="K73" s="2">
        <v>6.4519999999999994E-2</v>
      </c>
      <c r="L73" s="2">
        <v>0.26996999999999999</v>
      </c>
      <c r="M73" s="2">
        <v>0.75983000000000001</v>
      </c>
    </row>
    <row r="74" spans="2:13" x14ac:dyDescent="0.3">
      <c r="B74" s="27">
        <v>68</v>
      </c>
      <c r="C74" s="2">
        <v>28021</v>
      </c>
      <c r="D74" s="2">
        <v>0.10389</v>
      </c>
      <c r="E74" s="2">
        <v>0.30204999999999999</v>
      </c>
      <c r="F74" s="2">
        <v>0.80398999999999998</v>
      </c>
      <c r="G74" s="2">
        <v>0.99931999999999999</v>
      </c>
      <c r="H74" s="2">
        <v>1</v>
      </c>
      <c r="I74" s="2">
        <v>0.995</v>
      </c>
      <c r="J74" s="2">
        <v>0.995</v>
      </c>
      <c r="K74" s="2">
        <v>6.3890000000000002E-2</v>
      </c>
      <c r="L74" s="2">
        <v>0.26863999999999999</v>
      </c>
      <c r="M74" s="2">
        <v>0.75988999999999995</v>
      </c>
    </row>
    <row r="75" spans="2:13" x14ac:dyDescent="0.3">
      <c r="B75" s="27">
        <v>69</v>
      </c>
      <c r="C75" s="2">
        <v>28419</v>
      </c>
      <c r="D75" s="2">
        <v>0.10185</v>
      </c>
      <c r="E75" s="2">
        <v>0.29291</v>
      </c>
      <c r="F75" s="2">
        <v>0.80637999999999999</v>
      </c>
      <c r="G75" s="2">
        <v>0.99934000000000001</v>
      </c>
      <c r="H75" s="2">
        <v>1</v>
      </c>
      <c r="I75" s="2">
        <v>0.995</v>
      </c>
      <c r="J75" s="2">
        <v>0.995</v>
      </c>
      <c r="K75" s="2">
        <v>6.2789999999999999E-2</v>
      </c>
      <c r="L75" s="2">
        <v>0.26783000000000001</v>
      </c>
      <c r="M75" s="2">
        <v>0.75978999999999997</v>
      </c>
    </row>
    <row r="76" spans="2:13" x14ac:dyDescent="0.3">
      <c r="B76" s="27">
        <v>70</v>
      </c>
      <c r="C76" s="2">
        <v>28818.400000000001</v>
      </c>
      <c r="D76" s="2">
        <v>0.10273</v>
      </c>
      <c r="E76" s="2">
        <v>0.29522999999999999</v>
      </c>
      <c r="F76" s="2">
        <v>0.80496999999999996</v>
      </c>
      <c r="G76" s="2">
        <v>0.99936999999999998</v>
      </c>
      <c r="H76" s="2">
        <v>1</v>
      </c>
      <c r="I76" s="2">
        <v>0.995</v>
      </c>
      <c r="J76" s="2">
        <v>0.995</v>
      </c>
      <c r="K76" s="2">
        <v>6.6930000000000003E-2</v>
      </c>
      <c r="L76" s="2">
        <v>0.26699000000000001</v>
      </c>
      <c r="M76" s="2">
        <v>0.75993999999999995</v>
      </c>
    </row>
    <row r="77" spans="2:13" x14ac:dyDescent="0.3">
      <c r="B77" s="27">
        <v>71</v>
      </c>
      <c r="C77" s="2">
        <v>29215</v>
      </c>
      <c r="D77" s="2">
        <v>0.10116</v>
      </c>
      <c r="E77" s="2">
        <v>0.29113</v>
      </c>
      <c r="F77" s="2">
        <v>0.80698000000000003</v>
      </c>
      <c r="G77" s="2">
        <v>0.99931000000000003</v>
      </c>
      <c r="H77" s="2">
        <v>1</v>
      </c>
      <c r="I77" s="2">
        <v>0.995</v>
      </c>
      <c r="J77" s="2">
        <v>0.995</v>
      </c>
      <c r="K77" s="2">
        <v>6.232E-2</v>
      </c>
      <c r="L77" s="2">
        <v>0.26218000000000002</v>
      </c>
      <c r="M77" s="2">
        <v>0.75982000000000005</v>
      </c>
    </row>
    <row r="78" spans="2:13" x14ac:dyDescent="0.3">
      <c r="B78" s="27">
        <v>72</v>
      </c>
      <c r="C78" s="2">
        <v>29611.200000000001</v>
      </c>
      <c r="D78" s="2">
        <v>9.8830000000000001E-2</v>
      </c>
      <c r="E78" s="2">
        <v>0.29131000000000001</v>
      </c>
      <c r="F78" s="2">
        <v>0.80784999999999996</v>
      </c>
      <c r="G78" s="2">
        <v>0.99936000000000003</v>
      </c>
      <c r="H78" s="2">
        <v>1</v>
      </c>
      <c r="I78" s="2">
        <v>0.995</v>
      </c>
      <c r="J78" s="2">
        <v>0.995</v>
      </c>
      <c r="K78" s="2">
        <v>6.1530000000000001E-2</v>
      </c>
      <c r="L78" s="2">
        <v>0.26272000000000001</v>
      </c>
      <c r="M78" s="2">
        <v>0.75966999999999996</v>
      </c>
    </row>
    <row r="79" spans="2:13" x14ac:dyDescent="0.3">
      <c r="B79" s="27">
        <v>73</v>
      </c>
      <c r="C79" s="2">
        <v>30008.3</v>
      </c>
      <c r="D79" s="2">
        <v>9.8890000000000006E-2</v>
      </c>
      <c r="E79" s="2">
        <v>0.28921999999999998</v>
      </c>
      <c r="F79" s="2">
        <v>0.80206999999999995</v>
      </c>
      <c r="G79" s="2">
        <v>0.99929999999999997</v>
      </c>
      <c r="H79" s="2">
        <v>1</v>
      </c>
      <c r="I79" s="2">
        <v>0.995</v>
      </c>
      <c r="J79" s="2">
        <v>0.995</v>
      </c>
      <c r="K79" s="2">
        <v>6.479E-2</v>
      </c>
      <c r="L79" s="2">
        <v>0.26418999999999998</v>
      </c>
      <c r="M79" s="2">
        <v>0.75924999999999998</v>
      </c>
    </row>
    <row r="80" spans="2:13" x14ac:dyDescent="0.3">
      <c r="B80" s="27">
        <v>74</v>
      </c>
      <c r="C80" s="2">
        <v>30405.3</v>
      </c>
      <c r="D80" s="2">
        <v>0.10173</v>
      </c>
      <c r="E80" s="2">
        <v>0.29196</v>
      </c>
      <c r="F80" s="2">
        <v>0.80623999999999996</v>
      </c>
      <c r="G80" s="2">
        <v>0.99927999999999995</v>
      </c>
      <c r="H80" s="2">
        <v>1</v>
      </c>
      <c r="I80" s="2">
        <v>0.995</v>
      </c>
      <c r="J80" s="2">
        <v>0.995</v>
      </c>
      <c r="K80" s="2">
        <v>6.0310000000000002E-2</v>
      </c>
      <c r="L80" s="2">
        <v>0.26018999999999998</v>
      </c>
      <c r="M80" s="2">
        <v>0.75995000000000001</v>
      </c>
    </row>
    <row r="81" spans="2:13" x14ac:dyDescent="0.3">
      <c r="B81" s="27">
        <v>75</v>
      </c>
      <c r="C81" s="2">
        <v>30802.5</v>
      </c>
      <c r="D81" s="2">
        <v>9.8699999999999996E-2</v>
      </c>
      <c r="E81" s="2">
        <v>0.28411999999999998</v>
      </c>
      <c r="F81" s="2">
        <v>0.80547999999999997</v>
      </c>
      <c r="G81" s="2">
        <v>0.99936999999999998</v>
      </c>
      <c r="H81" s="2">
        <v>1</v>
      </c>
      <c r="I81" s="2">
        <v>0.995</v>
      </c>
      <c r="J81" s="2">
        <v>0.995</v>
      </c>
      <c r="K81" s="2">
        <v>6.1879999999999998E-2</v>
      </c>
      <c r="L81" s="2">
        <v>0.25885000000000002</v>
      </c>
      <c r="M81" s="2">
        <v>0.75949999999999995</v>
      </c>
    </row>
    <row r="82" spans="2:13" x14ac:dyDescent="0.3">
      <c r="B82" s="27">
        <v>76</v>
      </c>
      <c r="C82" s="2">
        <v>31199.3</v>
      </c>
      <c r="D82" s="2">
        <v>9.7750000000000004E-2</v>
      </c>
      <c r="E82" s="2">
        <v>0.28281000000000001</v>
      </c>
      <c r="F82" s="2">
        <v>0.80464999999999998</v>
      </c>
      <c r="G82" s="2">
        <v>0.99934000000000001</v>
      </c>
      <c r="H82" s="2">
        <v>1</v>
      </c>
      <c r="I82" s="2">
        <v>0.995</v>
      </c>
      <c r="J82" s="2">
        <v>0.995</v>
      </c>
      <c r="K82" s="2">
        <v>6.1019999999999998E-2</v>
      </c>
      <c r="L82" s="2">
        <v>0.25774999999999998</v>
      </c>
      <c r="M82" s="2">
        <v>0.75939999999999996</v>
      </c>
    </row>
    <row r="83" spans="2:13" x14ac:dyDescent="0.3">
      <c r="B83" s="27">
        <v>77</v>
      </c>
      <c r="C83" s="2">
        <v>31596.1</v>
      </c>
      <c r="D83" s="2">
        <v>9.7269999999999995E-2</v>
      </c>
      <c r="E83" s="2">
        <v>0.27900999999999998</v>
      </c>
      <c r="F83" s="2">
        <v>0.80408000000000002</v>
      </c>
      <c r="G83" s="2">
        <v>0.99919000000000002</v>
      </c>
      <c r="H83" s="2">
        <v>1</v>
      </c>
      <c r="I83" s="2">
        <v>0.995</v>
      </c>
      <c r="J83" s="2">
        <v>0.995</v>
      </c>
      <c r="K83" s="2">
        <v>6.2489999999999997E-2</v>
      </c>
      <c r="L83" s="2">
        <v>0.25777</v>
      </c>
      <c r="M83" s="2">
        <v>0.75953000000000004</v>
      </c>
    </row>
    <row r="84" spans="2:13" x14ac:dyDescent="0.3">
      <c r="B84" s="27">
        <v>78</v>
      </c>
      <c r="C84" s="2">
        <v>31994.799999999999</v>
      </c>
      <c r="D84" s="2">
        <v>9.4960000000000003E-2</v>
      </c>
      <c r="E84" s="2">
        <v>0.28037000000000001</v>
      </c>
      <c r="F84" s="2">
        <v>0.80252999999999997</v>
      </c>
      <c r="G84" s="2">
        <v>0.99927999999999995</v>
      </c>
      <c r="H84" s="2">
        <v>1</v>
      </c>
      <c r="I84" s="2">
        <v>0.995</v>
      </c>
      <c r="J84" s="2">
        <v>0.995</v>
      </c>
      <c r="K84" s="2">
        <v>6.089E-2</v>
      </c>
      <c r="L84" s="2">
        <v>0.25766</v>
      </c>
      <c r="M84" s="2">
        <v>0.75956000000000001</v>
      </c>
    </row>
    <row r="85" spans="2:13" x14ac:dyDescent="0.3">
      <c r="B85" s="27">
        <v>79</v>
      </c>
      <c r="C85" s="2">
        <v>32393.1</v>
      </c>
      <c r="D85" s="2">
        <v>9.6990000000000007E-2</v>
      </c>
      <c r="E85" s="2">
        <v>0.27842</v>
      </c>
      <c r="F85" s="2">
        <v>0.80318999999999996</v>
      </c>
      <c r="G85" s="2">
        <v>0.99926999999999999</v>
      </c>
      <c r="H85" s="2">
        <v>1</v>
      </c>
      <c r="I85" s="2">
        <v>0.995</v>
      </c>
      <c r="J85" s="2">
        <v>0.995</v>
      </c>
      <c r="K85" s="2">
        <v>6.2789999999999999E-2</v>
      </c>
      <c r="L85" s="2">
        <v>0.25474999999999998</v>
      </c>
      <c r="M85" s="2">
        <v>0.75922999999999996</v>
      </c>
    </row>
    <row r="86" spans="2:13" x14ac:dyDescent="0.3">
      <c r="B86" s="27">
        <v>80</v>
      </c>
      <c r="C86" s="2">
        <v>32790.6</v>
      </c>
      <c r="D86" s="2">
        <v>9.5420000000000005E-2</v>
      </c>
      <c r="E86" s="2">
        <v>0.27367999999999998</v>
      </c>
      <c r="F86" s="2">
        <v>0.80279999999999996</v>
      </c>
      <c r="G86" s="2">
        <v>0.99931999999999999</v>
      </c>
      <c r="H86" s="2">
        <v>1</v>
      </c>
      <c r="I86" s="2">
        <v>0.995</v>
      </c>
      <c r="J86" s="2">
        <v>0.995</v>
      </c>
      <c r="K86" s="2">
        <v>6.0929999999999998E-2</v>
      </c>
      <c r="L86" s="2">
        <v>0.25372</v>
      </c>
      <c r="M86" s="2">
        <v>0.75931000000000004</v>
      </c>
    </row>
    <row r="87" spans="2:13" x14ac:dyDescent="0.3">
      <c r="B87" s="27">
        <v>81</v>
      </c>
      <c r="C87" s="2">
        <v>33187.300000000003</v>
      </c>
      <c r="D87" s="2">
        <v>9.6909999999999996E-2</v>
      </c>
      <c r="E87" s="2">
        <v>0.28344999999999998</v>
      </c>
      <c r="F87" s="2">
        <v>0.80352000000000001</v>
      </c>
      <c r="G87" s="2">
        <v>0.99933000000000005</v>
      </c>
      <c r="H87" s="2">
        <v>1</v>
      </c>
      <c r="I87" s="2">
        <v>0.995</v>
      </c>
      <c r="J87" s="2">
        <v>0.995</v>
      </c>
      <c r="K87" s="2">
        <v>5.9330000000000001E-2</v>
      </c>
      <c r="L87" s="2">
        <v>0.25394</v>
      </c>
      <c r="M87" s="2">
        <v>0.75934000000000001</v>
      </c>
    </row>
    <row r="88" spans="2:13" x14ac:dyDescent="0.3">
      <c r="B88" s="27">
        <v>82</v>
      </c>
      <c r="C88" s="2">
        <v>33583.599999999999</v>
      </c>
      <c r="D88" s="2">
        <v>9.844E-2</v>
      </c>
      <c r="E88" s="2">
        <v>0.28392000000000001</v>
      </c>
      <c r="F88" s="2">
        <v>0.80662</v>
      </c>
      <c r="G88" s="2">
        <v>0.99933000000000005</v>
      </c>
      <c r="H88" s="2">
        <v>1</v>
      </c>
      <c r="I88" s="2">
        <v>0.995</v>
      </c>
      <c r="J88" s="2">
        <v>0.995</v>
      </c>
      <c r="K88" s="2">
        <v>6.1310000000000003E-2</v>
      </c>
      <c r="L88" s="2">
        <v>0.25366</v>
      </c>
      <c r="M88" s="2">
        <v>0.75961000000000001</v>
      </c>
    </row>
    <row r="89" spans="2:13" x14ac:dyDescent="0.3">
      <c r="B89" s="27">
        <v>83</v>
      </c>
      <c r="C89" s="2">
        <v>33980.300000000003</v>
      </c>
      <c r="D89" s="2">
        <v>9.7449999999999995E-2</v>
      </c>
      <c r="E89" s="2">
        <v>0.28220000000000001</v>
      </c>
      <c r="F89" s="2">
        <v>0.80517000000000005</v>
      </c>
      <c r="G89" s="2">
        <v>0.99934999999999996</v>
      </c>
      <c r="H89" s="2">
        <v>1</v>
      </c>
      <c r="I89" s="2">
        <v>0.995</v>
      </c>
      <c r="J89" s="2">
        <v>0.995</v>
      </c>
      <c r="K89" s="2">
        <v>6.2080000000000003E-2</v>
      </c>
      <c r="L89" s="2">
        <v>0.24972</v>
      </c>
      <c r="M89" s="2">
        <v>0.75939999999999996</v>
      </c>
    </row>
    <row r="90" spans="2:13" x14ac:dyDescent="0.3">
      <c r="B90" s="27">
        <v>84</v>
      </c>
      <c r="C90" s="2">
        <v>34376.699999999997</v>
      </c>
      <c r="D90" s="2">
        <v>9.6479999999999996E-2</v>
      </c>
      <c r="E90" s="2">
        <v>0.27904000000000001</v>
      </c>
      <c r="F90" s="2">
        <v>0.80503999999999998</v>
      </c>
      <c r="G90" s="2">
        <v>0.99933000000000005</v>
      </c>
      <c r="H90" s="2">
        <v>1</v>
      </c>
      <c r="I90" s="2">
        <v>0.995</v>
      </c>
      <c r="J90" s="2">
        <v>0.995</v>
      </c>
      <c r="K90" s="2">
        <v>6.1400000000000003E-2</v>
      </c>
      <c r="L90" s="2">
        <v>0.24951999999999999</v>
      </c>
      <c r="M90" s="2">
        <v>0.75929999999999997</v>
      </c>
    </row>
    <row r="91" spans="2:13" x14ac:dyDescent="0.3">
      <c r="B91" s="27">
        <v>85</v>
      </c>
      <c r="C91" s="2">
        <v>34772.9</v>
      </c>
      <c r="D91" s="2">
        <v>9.6240000000000006E-2</v>
      </c>
      <c r="E91" s="2">
        <v>0.27640999999999999</v>
      </c>
      <c r="F91" s="2">
        <v>0.80500000000000005</v>
      </c>
      <c r="G91" s="2">
        <v>0.99929999999999997</v>
      </c>
      <c r="H91" s="2">
        <v>1</v>
      </c>
      <c r="I91" s="2">
        <v>0.995</v>
      </c>
      <c r="J91" s="2">
        <v>0.995</v>
      </c>
      <c r="K91" s="2">
        <v>5.9790000000000003E-2</v>
      </c>
      <c r="L91" s="2">
        <v>0.24848999999999999</v>
      </c>
      <c r="M91" s="2">
        <v>0.75917000000000001</v>
      </c>
    </row>
    <row r="92" spans="2:13" x14ac:dyDescent="0.3">
      <c r="B92" s="27">
        <v>86</v>
      </c>
      <c r="C92" s="2">
        <v>35169.4</v>
      </c>
      <c r="D92" s="2">
        <v>9.5589999999999994E-2</v>
      </c>
      <c r="E92" s="2">
        <v>0.27389999999999998</v>
      </c>
      <c r="F92" s="2">
        <v>0.80566000000000004</v>
      </c>
      <c r="G92" s="2">
        <v>0.99931999999999999</v>
      </c>
      <c r="H92" s="2">
        <v>1</v>
      </c>
      <c r="I92" s="2">
        <v>0.995</v>
      </c>
      <c r="J92" s="2">
        <v>0.995</v>
      </c>
      <c r="K92" s="2">
        <v>6.0560000000000003E-2</v>
      </c>
      <c r="L92" s="2">
        <v>0.25006</v>
      </c>
      <c r="M92" s="2">
        <v>0.75934000000000001</v>
      </c>
    </row>
    <row r="93" spans="2:13" x14ac:dyDescent="0.3">
      <c r="B93" s="27">
        <v>87</v>
      </c>
      <c r="C93" s="2">
        <v>35568.699999999997</v>
      </c>
      <c r="D93" s="2">
        <v>9.3060000000000004E-2</v>
      </c>
      <c r="E93" s="2">
        <v>0.27179999999999999</v>
      </c>
      <c r="F93" s="2">
        <v>0.80240999999999996</v>
      </c>
      <c r="G93" s="2">
        <v>0.99929999999999997</v>
      </c>
      <c r="H93" s="2">
        <v>1</v>
      </c>
      <c r="I93" s="2">
        <v>0.995</v>
      </c>
      <c r="J93" s="2">
        <v>0.995</v>
      </c>
      <c r="K93" s="2">
        <v>5.8189999999999999E-2</v>
      </c>
      <c r="L93" s="2">
        <v>0.24646000000000001</v>
      </c>
      <c r="M93" s="2">
        <v>0.75892000000000004</v>
      </c>
    </row>
    <row r="94" spans="2:13" x14ac:dyDescent="0.3">
      <c r="B94" s="27">
        <v>88</v>
      </c>
      <c r="C94" s="2">
        <v>35967.599999999999</v>
      </c>
      <c r="D94" s="2">
        <v>9.4039999999999999E-2</v>
      </c>
      <c r="E94" s="2">
        <v>0.27001999999999998</v>
      </c>
      <c r="F94" s="2">
        <v>0.80386999999999997</v>
      </c>
      <c r="G94" s="2">
        <v>0.99936999999999998</v>
      </c>
      <c r="H94" s="2">
        <v>1</v>
      </c>
      <c r="I94" s="2">
        <v>0.995</v>
      </c>
      <c r="J94" s="2">
        <v>0.995</v>
      </c>
      <c r="K94" s="2">
        <v>5.9740000000000001E-2</v>
      </c>
      <c r="L94" s="2">
        <v>0.24746000000000001</v>
      </c>
      <c r="M94" s="2">
        <v>0.75931999999999999</v>
      </c>
    </row>
    <row r="95" spans="2:13" x14ac:dyDescent="0.3">
      <c r="B95" s="27">
        <v>89</v>
      </c>
      <c r="C95" s="2">
        <v>36366.5</v>
      </c>
      <c r="D95" s="2">
        <v>9.4890000000000002E-2</v>
      </c>
      <c r="E95" s="2">
        <v>0.27705999999999997</v>
      </c>
      <c r="F95" s="2">
        <v>0.80467</v>
      </c>
      <c r="G95" s="2">
        <v>0.99924999999999997</v>
      </c>
      <c r="H95" s="2">
        <v>1</v>
      </c>
      <c r="I95" s="2">
        <v>0.995</v>
      </c>
      <c r="J95" s="2">
        <v>0.995</v>
      </c>
      <c r="K95" s="2">
        <v>5.9670000000000001E-2</v>
      </c>
      <c r="L95" s="2">
        <v>0.24689</v>
      </c>
      <c r="M95" s="2">
        <v>0.75924000000000003</v>
      </c>
    </row>
    <row r="96" spans="2:13" x14ac:dyDescent="0.3">
      <c r="B96" s="27">
        <v>90</v>
      </c>
      <c r="C96" s="2">
        <v>36766.800000000003</v>
      </c>
      <c r="D96" s="2">
        <v>9.6229999999999996E-2</v>
      </c>
      <c r="E96" s="2">
        <v>0.27582000000000001</v>
      </c>
      <c r="F96" s="2">
        <v>0.80393999999999999</v>
      </c>
      <c r="G96" s="2">
        <v>0.99926999999999999</v>
      </c>
      <c r="H96" s="2">
        <v>1</v>
      </c>
      <c r="I96" s="2">
        <v>0.995</v>
      </c>
      <c r="J96" s="2">
        <v>0.995</v>
      </c>
      <c r="K96" s="2">
        <v>5.9740000000000001E-2</v>
      </c>
      <c r="L96" s="2">
        <v>0.247</v>
      </c>
      <c r="M96" s="2">
        <v>0.75926000000000005</v>
      </c>
    </row>
    <row r="97" spans="2:13" x14ac:dyDescent="0.3">
      <c r="B97" s="27">
        <v>91</v>
      </c>
      <c r="C97" s="2">
        <v>37161.1</v>
      </c>
      <c r="D97" s="2">
        <v>6.9769999999999999E-2</v>
      </c>
      <c r="E97" s="2">
        <v>0.31714999999999999</v>
      </c>
      <c r="F97" s="2">
        <v>0.75738000000000005</v>
      </c>
      <c r="G97" s="2">
        <v>0.99929000000000001</v>
      </c>
      <c r="H97" s="2">
        <v>1</v>
      </c>
      <c r="I97" s="2">
        <v>0.995</v>
      </c>
      <c r="J97" s="2">
        <v>0.995</v>
      </c>
      <c r="K97" s="2">
        <v>6.2330000000000003E-2</v>
      </c>
      <c r="L97" s="2">
        <v>0.24898000000000001</v>
      </c>
      <c r="M97" s="2">
        <v>0.75895999999999997</v>
      </c>
    </row>
    <row r="98" spans="2:13" x14ac:dyDescent="0.3">
      <c r="B98" s="27">
        <v>92</v>
      </c>
      <c r="C98" s="2">
        <v>37556.400000000001</v>
      </c>
      <c r="D98" s="2">
        <v>6.9110000000000005E-2</v>
      </c>
      <c r="E98" s="2">
        <v>0.31296000000000002</v>
      </c>
      <c r="F98" s="2">
        <v>0.75953000000000004</v>
      </c>
      <c r="G98" s="2">
        <v>0.99936999999999998</v>
      </c>
      <c r="H98" s="2">
        <v>1</v>
      </c>
      <c r="I98" s="2">
        <v>0.995</v>
      </c>
      <c r="J98" s="2">
        <v>0.995</v>
      </c>
      <c r="K98" s="2">
        <v>6.0040000000000003E-2</v>
      </c>
      <c r="L98" s="2">
        <v>0.24593000000000001</v>
      </c>
      <c r="M98" s="2">
        <v>0.75870000000000004</v>
      </c>
    </row>
    <row r="99" spans="2:13" x14ac:dyDescent="0.3">
      <c r="B99" s="27">
        <v>93</v>
      </c>
      <c r="C99" s="2">
        <v>37950.6</v>
      </c>
      <c r="D99" s="2">
        <v>6.7390000000000005E-2</v>
      </c>
      <c r="E99" s="2">
        <v>0.311</v>
      </c>
      <c r="F99" s="2">
        <v>0.76297999999999999</v>
      </c>
      <c r="G99" s="2">
        <v>0.99934999999999996</v>
      </c>
      <c r="H99" s="2">
        <v>1</v>
      </c>
      <c r="I99" s="2">
        <v>0.995</v>
      </c>
      <c r="J99" s="2">
        <v>0.995</v>
      </c>
      <c r="K99" s="2">
        <v>5.9859999999999997E-2</v>
      </c>
      <c r="L99" s="2">
        <v>0.24615999999999999</v>
      </c>
      <c r="M99" s="2">
        <v>0.75883999999999996</v>
      </c>
    </row>
    <row r="100" spans="2:13" x14ac:dyDescent="0.3">
      <c r="B100" s="27">
        <v>94</v>
      </c>
      <c r="C100" s="2">
        <v>38346.199999999997</v>
      </c>
      <c r="D100" s="2">
        <v>6.7839999999999998E-2</v>
      </c>
      <c r="E100" s="2">
        <v>0.31192999999999999</v>
      </c>
      <c r="F100" s="2">
        <v>0.75873999999999997</v>
      </c>
      <c r="G100" s="2">
        <v>0.99934000000000001</v>
      </c>
      <c r="H100" s="2">
        <v>1</v>
      </c>
      <c r="I100" s="2">
        <v>0.995</v>
      </c>
      <c r="J100" s="2">
        <v>0.995</v>
      </c>
      <c r="K100" s="2">
        <v>6.028E-2</v>
      </c>
      <c r="L100" s="2">
        <v>0.24601999999999999</v>
      </c>
      <c r="M100" s="2">
        <v>0.75875000000000004</v>
      </c>
    </row>
    <row r="101" spans="2:13" x14ac:dyDescent="0.3">
      <c r="B101" s="27">
        <v>95</v>
      </c>
      <c r="C101" s="2">
        <v>38742.800000000003</v>
      </c>
      <c r="D101" s="2">
        <v>6.7769999999999997E-2</v>
      </c>
      <c r="E101" s="2">
        <v>0.31053999999999998</v>
      </c>
      <c r="F101" s="2">
        <v>0.75792000000000004</v>
      </c>
      <c r="G101" s="2">
        <v>0.99933000000000005</v>
      </c>
      <c r="H101" s="2">
        <v>1</v>
      </c>
      <c r="I101" s="2">
        <v>0.995</v>
      </c>
      <c r="J101" s="2">
        <v>0.995</v>
      </c>
      <c r="K101" s="2">
        <v>6.0690000000000001E-2</v>
      </c>
      <c r="L101" s="2">
        <v>0.24615999999999999</v>
      </c>
      <c r="M101" s="2">
        <v>0.75890999999999997</v>
      </c>
    </row>
    <row r="102" spans="2:13" x14ac:dyDescent="0.3">
      <c r="B102" s="27">
        <v>96</v>
      </c>
      <c r="C102" s="2">
        <v>39140.199999999997</v>
      </c>
      <c r="D102" s="2">
        <v>6.5920000000000006E-2</v>
      </c>
      <c r="E102" s="2">
        <v>0.30810999999999999</v>
      </c>
      <c r="F102" s="2">
        <v>0.75805</v>
      </c>
      <c r="G102" s="2">
        <v>0.99933000000000005</v>
      </c>
      <c r="H102" s="2">
        <v>1</v>
      </c>
      <c r="I102" s="2">
        <v>0.995</v>
      </c>
      <c r="J102" s="2">
        <v>0.995</v>
      </c>
      <c r="K102" s="2">
        <v>5.8790000000000002E-2</v>
      </c>
      <c r="L102" s="2">
        <v>0.24443999999999999</v>
      </c>
      <c r="M102" s="2">
        <v>0.75866</v>
      </c>
    </row>
    <row r="103" spans="2:13" x14ac:dyDescent="0.3">
      <c r="B103" s="27">
        <v>97</v>
      </c>
      <c r="C103" s="2">
        <v>39537.4</v>
      </c>
      <c r="D103" s="2">
        <v>6.5989999999999993E-2</v>
      </c>
      <c r="E103" s="2">
        <v>0.30678</v>
      </c>
      <c r="F103" s="2">
        <v>0.75704000000000005</v>
      </c>
      <c r="G103" s="2">
        <v>0.99934000000000001</v>
      </c>
      <c r="H103" s="2">
        <v>1</v>
      </c>
      <c r="I103" s="2">
        <v>0.995</v>
      </c>
      <c r="J103" s="2">
        <v>0.995</v>
      </c>
      <c r="K103" s="2">
        <v>5.9380000000000002E-2</v>
      </c>
      <c r="L103" s="2">
        <v>0.24339</v>
      </c>
      <c r="M103" s="2">
        <v>0.75863000000000003</v>
      </c>
    </row>
    <row r="104" spans="2:13" x14ac:dyDescent="0.3">
      <c r="B104" s="27">
        <v>98</v>
      </c>
      <c r="C104" s="2">
        <v>39934.800000000003</v>
      </c>
      <c r="D104" s="2">
        <v>6.5290000000000001E-2</v>
      </c>
      <c r="E104" s="2">
        <v>0.30546000000000001</v>
      </c>
      <c r="F104" s="2">
        <v>0.75443000000000005</v>
      </c>
      <c r="G104" s="2">
        <v>0.99934000000000001</v>
      </c>
      <c r="H104" s="2">
        <v>1</v>
      </c>
      <c r="I104" s="2">
        <v>0.995</v>
      </c>
      <c r="J104" s="2">
        <v>0.995</v>
      </c>
      <c r="K104" s="2">
        <v>5.9200000000000003E-2</v>
      </c>
      <c r="L104" s="2">
        <v>0.24346000000000001</v>
      </c>
      <c r="M104" s="2">
        <v>0.75860000000000005</v>
      </c>
    </row>
    <row r="105" spans="2:13" x14ac:dyDescent="0.3">
      <c r="B105" s="27">
        <v>99</v>
      </c>
      <c r="C105" s="2">
        <v>40332.800000000003</v>
      </c>
      <c r="D105" s="2">
        <v>6.5549999999999997E-2</v>
      </c>
      <c r="E105" s="2">
        <v>0.30560999999999999</v>
      </c>
      <c r="F105" s="2">
        <v>0.75892000000000004</v>
      </c>
      <c r="G105" s="2">
        <v>0.99933000000000005</v>
      </c>
      <c r="H105" s="2">
        <v>1</v>
      </c>
      <c r="I105" s="2">
        <v>0.995</v>
      </c>
      <c r="J105" s="2">
        <v>0.995</v>
      </c>
      <c r="K105" s="2">
        <v>5.9540000000000003E-2</v>
      </c>
      <c r="L105" s="2">
        <v>0.24277000000000001</v>
      </c>
      <c r="M105" s="2">
        <v>0.75856999999999997</v>
      </c>
    </row>
    <row r="106" spans="2:13" ht="17.25" thickBot="1" x14ac:dyDescent="0.35">
      <c r="B106" s="28">
        <v>100</v>
      </c>
      <c r="C106" s="3">
        <v>40731.1</v>
      </c>
      <c r="D106" s="3">
        <v>6.4810000000000006E-2</v>
      </c>
      <c r="E106" s="3">
        <v>0.30429</v>
      </c>
      <c r="F106" s="3">
        <v>0.75641000000000003</v>
      </c>
      <c r="G106" s="3">
        <v>0.99934000000000001</v>
      </c>
      <c r="H106" s="3">
        <v>1</v>
      </c>
      <c r="I106" s="3">
        <v>0.995</v>
      </c>
      <c r="J106" s="3">
        <v>0.995</v>
      </c>
      <c r="K106" s="3">
        <v>5.8000000000000003E-2</v>
      </c>
      <c r="L106" s="3">
        <v>0.24138999999999999</v>
      </c>
      <c r="M106" s="3">
        <v>0.75856000000000001</v>
      </c>
    </row>
    <row r="107" spans="2:13" x14ac:dyDescent="0.3">
      <c r="C107">
        <f>C106/3600</f>
        <v>11.314194444444444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2026-02-13T04:25:30Z</dcterms:modified>
</cp:coreProperties>
</file>