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 Marker\Project\dataset_information\"/>
    </mc:Choice>
  </mc:AlternateContent>
  <bookViews>
    <workbookView xWindow="0" yWindow="0" windowWidth="28770" windowHeight="17535"/>
  </bookViews>
  <sheets>
    <sheet name="GNERAL INFORMATION" sheetId="1" r:id="rId1"/>
    <sheet name="Resul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C107" i="2" l="1"/>
  <c r="E12" i="1" l="1"/>
  <c r="E13" i="1" s="1"/>
  <c r="E14" i="1" s="1"/>
  <c r="E15" i="1" l="1"/>
</calcChain>
</file>

<file path=xl/sharedStrings.xml><?xml version="1.0" encoding="utf-8"?>
<sst xmlns="http://schemas.openxmlformats.org/spreadsheetml/2006/main" count="76" uniqueCount="65">
  <si>
    <t>TRAINING MODEL FOR AR MARKER DETECTION</t>
    <phoneticPr fontId="1" type="noConversion"/>
  </si>
  <si>
    <t>variabel</t>
    <phoneticPr fontId="1" type="noConversion"/>
  </si>
  <si>
    <t>ID ARUCO Marker</t>
    <phoneticPr fontId="1" type="noConversion"/>
  </si>
  <si>
    <t>=</t>
    <phoneticPr fontId="1" type="noConversion"/>
  </si>
  <si>
    <t>=</t>
    <phoneticPr fontId="1" type="noConversion"/>
  </si>
  <si>
    <t>Defect</t>
    <phoneticPr fontId="1" type="noConversion"/>
  </si>
  <si>
    <t>there are 6 defect</t>
    <phoneticPr fontId="1" type="noConversion"/>
  </si>
  <si>
    <t>Homohraphy Tranformation</t>
    <phoneticPr fontId="1" type="noConversion"/>
  </si>
  <si>
    <t>Image</t>
    <phoneticPr fontId="1" type="noConversion"/>
  </si>
  <si>
    <t>Augmentation</t>
    <phoneticPr fontId="1" type="noConversion"/>
  </si>
  <si>
    <t>applying 5 types of image augmentation</t>
  </si>
  <si>
    <t>No</t>
    <phoneticPr fontId="1" type="noConversion"/>
  </si>
  <si>
    <t>Quantity</t>
    <phoneticPr fontId="1" type="noConversion"/>
  </si>
  <si>
    <t>Description</t>
    <phoneticPr fontId="1" type="noConversion"/>
  </si>
  <si>
    <t>Total Image for training</t>
    <phoneticPr fontId="1" type="noConversion"/>
  </si>
  <si>
    <t>GENERAL INFORMATION</t>
    <phoneticPr fontId="1" type="noConversion"/>
  </si>
  <si>
    <t>MODEL TRAINING INFORMATION</t>
    <phoneticPr fontId="1" type="noConversion"/>
  </si>
  <si>
    <t>YOLO Model</t>
    <phoneticPr fontId="1" type="noConversion"/>
  </si>
  <si>
    <t>=</t>
    <phoneticPr fontId="1" type="noConversion"/>
  </si>
  <si>
    <t>YOLOv8n.pt</t>
    <phoneticPr fontId="1" type="noConversion"/>
  </si>
  <si>
    <t>=</t>
    <phoneticPr fontId="1" type="noConversion"/>
  </si>
  <si>
    <t>image size</t>
    <phoneticPr fontId="1" type="noConversion"/>
  </si>
  <si>
    <t>batch</t>
    <phoneticPr fontId="1" type="noConversion"/>
  </si>
  <si>
    <t>time</t>
  </si>
  <si>
    <t>train/box_loss</t>
  </si>
  <si>
    <t>train/cls_loss</t>
  </si>
  <si>
    <t>train/dfl_loss</t>
  </si>
  <si>
    <t>val/box_loss</t>
  </si>
  <si>
    <t>val/cls_loss</t>
  </si>
  <si>
    <t>val/dfl_loss</t>
  </si>
  <si>
    <t>train/box_loss</t>
    <phoneticPr fontId="1" type="noConversion"/>
  </si>
  <si>
    <t>train/cls_loss</t>
    <phoneticPr fontId="1" type="noConversion"/>
  </si>
  <si>
    <t>train/dfl_loss</t>
    <phoneticPr fontId="1" type="noConversion"/>
  </si>
  <si>
    <t>metrics/precision</t>
    <phoneticPr fontId="1" type="noConversion"/>
  </si>
  <si>
    <t>metrics/recall</t>
    <phoneticPr fontId="1" type="noConversion"/>
  </si>
  <si>
    <t>val/box_loss</t>
    <phoneticPr fontId="1" type="noConversion"/>
  </si>
  <si>
    <t>val/cls_loss</t>
    <phoneticPr fontId="1" type="noConversion"/>
  </si>
  <si>
    <t>val/dfl_loss</t>
    <phoneticPr fontId="1" type="noConversion"/>
  </si>
  <si>
    <t>metrics/mAP50</t>
    <phoneticPr fontId="1" type="noConversion"/>
  </si>
  <si>
    <t>metrics/mAP50-95</t>
    <phoneticPr fontId="1" type="noConversion"/>
  </si>
  <si>
    <t>YOLO predict the bounding box of the marker</t>
    <phoneticPr fontId="1" type="noConversion"/>
  </si>
  <si>
    <t>Loss for bounding box accuracy.</t>
  </si>
  <si>
    <t>Loss for class classification.</t>
  </si>
  <si>
    <t>YOLO predict the marker ID</t>
    <phoneticPr fontId="1" type="noConversion"/>
  </si>
  <si>
    <t>calculation for precision</t>
    <phoneticPr fontId="1" type="noConversion"/>
  </si>
  <si>
    <t>Calculating how many marker ID predictions are correct out of all detected markers</t>
  </si>
  <si>
    <t>calculation for recall</t>
    <phoneticPr fontId="1" type="noConversion"/>
  </si>
  <si>
    <t>YOLO modeling the distribution of possible box positions</t>
    <phoneticPr fontId="1" type="noConversion"/>
  </si>
  <si>
    <t>Distribution Focal Loss</t>
  </si>
  <si>
    <t>model’s ability to detect objects</t>
  </si>
  <si>
    <t>precision of the bounding boxes</t>
  </si>
  <si>
    <t>Calculating how many markers are found out of all existing markers.</t>
    <phoneticPr fontId="1" type="noConversion"/>
  </si>
  <si>
    <t>Calculating the success rate of object recognition</t>
  </si>
  <si>
    <t>Detecting objects and marking their positions as accurately as possible, as quickly as possible</t>
    <phoneticPr fontId="1" type="noConversion"/>
  </si>
  <si>
    <t>Training Result</t>
    <phoneticPr fontId="1" type="noConversion"/>
  </si>
  <si>
    <t>epoch</t>
    <phoneticPr fontId="1" type="noConversion"/>
  </si>
  <si>
    <t>=</t>
    <phoneticPr fontId="1" type="noConversion"/>
  </si>
  <si>
    <t>performing 35 homographies (5 rotate, 5 zoom, 5 tilt, 5 rotate+zoom, 5 rotate+tilt, 5 zoom+tilt, 5 rotate+zoom+tilt)</t>
    <phoneticPr fontId="1" type="noConversion"/>
  </si>
  <si>
    <t>epoch</t>
  </si>
  <si>
    <t>metrics/precision(B)</t>
  </si>
  <si>
    <t>metrics/recall(B)</t>
  </si>
  <si>
    <t>metrics/mAP50(B)</t>
  </si>
  <si>
    <t>metrics/mAP50-95(B)</t>
  </si>
  <si>
    <t>(0-99)</t>
    <phoneticPr fontId="1" type="noConversion"/>
  </si>
  <si>
    <t>consists of 2 sequential marker IDs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</si>
</sst>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 Unicode MS"/>
      <family val="3"/>
      <charset val="129"/>
    </font>
    <font>
      <sz val="11"/>
      <color theme="1"/>
      <name val="Arial Unicode MS"/>
      <family val="3"/>
      <charset val="129"/>
    </font>
    <font>
      <sz val="12"/>
      <color theme="1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20"/>
      <color theme="1"/>
      <name val="Arial Unicode MS"/>
      <family val="3"/>
      <charset val="129"/>
    </font>
    <font>
      <b/>
      <sz val="24"/>
      <color theme="1"/>
      <name val="Arial Unicode MS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</xdr:colOff>
      <xdr:row>5</xdr:row>
      <xdr:rowOff>38101</xdr:rowOff>
    </xdr:from>
    <xdr:to>
      <xdr:col>18</xdr:col>
      <xdr:colOff>209770</xdr:colOff>
      <xdr:row>31</xdr:row>
      <xdr:rowOff>25744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2023" y="1248033"/>
          <a:ext cx="11697950" cy="5805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2"/>
  <sheetViews>
    <sheetView tabSelected="1" zoomScale="112" zoomScaleNormal="112" workbookViewId="0">
      <selection activeCell="C6" sqref="C6"/>
    </sheetView>
  </sheetViews>
  <sheetFormatPr defaultRowHeight="16.5" x14ac:dyDescent="0.3"/>
  <cols>
    <col min="1" max="2" width="9" style="1"/>
    <col min="3" max="3" width="46.5" style="1" bestFit="1" customWidth="1"/>
    <col min="4" max="4" width="3.375" style="1" customWidth="1"/>
    <col min="5" max="5" width="11.625" style="1" bestFit="1" customWidth="1"/>
    <col min="6" max="6" width="107.875" style="1" bestFit="1" customWidth="1"/>
    <col min="7" max="16384" width="9" style="1"/>
  </cols>
  <sheetData>
    <row r="3" spans="2:6" ht="34.5" x14ac:dyDescent="0.3">
      <c r="B3" s="48" t="s">
        <v>0</v>
      </c>
      <c r="C3" s="48"/>
      <c r="D3" s="48"/>
      <c r="E3" s="48"/>
      <c r="F3" s="48"/>
    </row>
    <row r="8" spans="2:6" ht="17.25" thickBot="1" x14ac:dyDescent="0.35">
      <c r="C8" s="1" t="s">
        <v>15</v>
      </c>
    </row>
    <row r="9" spans="2:6" ht="17.25" x14ac:dyDescent="0.3">
      <c r="B9" s="4" t="s">
        <v>11</v>
      </c>
      <c r="C9" s="5" t="s">
        <v>1</v>
      </c>
      <c r="D9" s="5"/>
      <c r="E9" s="5" t="s">
        <v>12</v>
      </c>
      <c r="F9" s="6" t="s">
        <v>13</v>
      </c>
    </row>
    <row r="10" spans="2:6" ht="17.25" x14ac:dyDescent="0.3">
      <c r="B10" s="7">
        <v>1</v>
      </c>
      <c r="C10" s="8" t="s">
        <v>2</v>
      </c>
      <c r="D10" s="9" t="s">
        <v>3</v>
      </c>
      <c r="E10" s="9">
        <v>100</v>
      </c>
      <c r="F10" s="10" t="s">
        <v>63</v>
      </c>
    </row>
    <row r="11" spans="2:6" ht="17.25" x14ac:dyDescent="0.3">
      <c r="B11" s="7">
        <v>2</v>
      </c>
      <c r="C11" s="8" t="s">
        <v>8</v>
      </c>
      <c r="D11" s="9" t="s">
        <v>4</v>
      </c>
      <c r="E11" s="9">
        <f>E10/2</f>
        <v>50</v>
      </c>
      <c r="F11" s="10" t="s">
        <v>64</v>
      </c>
    </row>
    <row r="12" spans="2:6" ht="17.25" x14ac:dyDescent="0.3">
      <c r="B12" s="7">
        <v>3</v>
      </c>
      <c r="C12" s="8" t="s">
        <v>5</v>
      </c>
      <c r="D12" s="9" t="s">
        <v>4</v>
      </c>
      <c r="E12" s="9">
        <f>E11*6</f>
        <v>300</v>
      </c>
      <c r="F12" s="10" t="s">
        <v>6</v>
      </c>
    </row>
    <row r="13" spans="2:6" ht="17.25" x14ac:dyDescent="0.3">
      <c r="B13" s="7">
        <v>4</v>
      </c>
      <c r="C13" s="8" t="s">
        <v>7</v>
      </c>
      <c r="D13" s="9" t="s">
        <v>4</v>
      </c>
      <c r="E13" s="9">
        <f>(E11+E12)*35</f>
        <v>12250</v>
      </c>
      <c r="F13" s="10" t="s">
        <v>57</v>
      </c>
    </row>
    <row r="14" spans="2:6" ht="18" thickBot="1" x14ac:dyDescent="0.35">
      <c r="B14" s="11">
        <v>5</v>
      </c>
      <c r="C14" s="12" t="s">
        <v>9</v>
      </c>
      <c r="D14" s="13" t="s">
        <v>3</v>
      </c>
      <c r="E14" s="13">
        <f>E13*5</f>
        <v>61250</v>
      </c>
      <c r="F14" s="14" t="s">
        <v>10</v>
      </c>
    </row>
    <row r="15" spans="2:6" ht="18" thickBot="1" x14ac:dyDescent="0.35">
      <c r="C15" s="15" t="s">
        <v>14</v>
      </c>
      <c r="D15" s="16" t="s">
        <v>4</v>
      </c>
      <c r="E15" s="17">
        <f>E11+E12+E13+E14</f>
        <v>73850</v>
      </c>
    </row>
    <row r="18" spans="3:5" ht="17.25" thickBot="1" x14ac:dyDescent="0.35">
      <c r="C18" s="1" t="s">
        <v>16</v>
      </c>
    </row>
    <row r="19" spans="3:5" x14ac:dyDescent="0.3">
      <c r="C19" s="18" t="s">
        <v>17</v>
      </c>
      <c r="D19" s="19" t="s">
        <v>18</v>
      </c>
      <c r="E19" s="20" t="s">
        <v>19</v>
      </c>
    </row>
    <row r="20" spans="3:5" x14ac:dyDescent="0.3">
      <c r="C20" s="21" t="s">
        <v>21</v>
      </c>
      <c r="D20" s="22" t="s">
        <v>20</v>
      </c>
      <c r="E20" s="23">
        <v>640</v>
      </c>
    </row>
    <row r="21" spans="3:5" x14ac:dyDescent="0.3">
      <c r="C21" s="41" t="s">
        <v>55</v>
      </c>
      <c r="D21" s="42" t="s">
        <v>56</v>
      </c>
      <c r="E21" s="43">
        <v>20</v>
      </c>
    </row>
    <row r="22" spans="3:5" ht="17.25" thickBot="1" x14ac:dyDescent="0.35">
      <c r="C22" s="24" t="s">
        <v>22</v>
      </c>
      <c r="D22" s="25" t="s">
        <v>18</v>
      </c>
      <c r="E22" s="26">
        <v>8</v>
      </c>
    </row>
  </sheetData>
  <mergeCells count="1">
    <mergeCell ref="B3:F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07"/>
  <sheetViews>
    <sheetView zoomScale="37" zoomScaleNormal="37" workbookViewId="0">
      <selection activeCell="I45" sqref="I45"/>
    </sheetView>
  </sheetViews>
  <sheetFormatPr defaultRowHeight="16.5" x14ac:dyDescent="0.3"/>
  <cols>
    <col min="2" max="2" width="6.5" customWidth="1"/>
    <col min="3" max="3" width="8.5" customWidth="1"/>
    <col min="4" max="4" width="13.125" customWidth="1"/>
    <col min="5" max="5" width="12.5" customWidth="1"/>
    <col min="6" max="6" width="11.875" customWidth="1"/>
    <col min="7" max="7" width="11.5" customWidth="1"/>
    <col min="8" max="8" width="8.5" customWidth="1"/>
    <col min="9" max="9" width="10.125" customWidth="1"/>
    <col min="10" max="10" width="13.375" customWidth="1"/>
    <col min="11" max="11" width="11.875" customWidth="1"/>
    <col min="12" max="12" width="11.25" customWidth="1"/>
    <col min="13" max="13" width="10.625" customWidth="1"/>
    <col min="14" max="15" width="12.75" customWidth="1"/>
    <col min="16" max="16" width="17.75" bestFit="1" customWidth="1"/>
    <col min="17" max="17" width="31.5" bestFit="1" customWidth="1"/>
    <col min="18" max="18" width="89" bestFit="1" customWidth="1"/>
    <col min="19" max="21" width="12.75" customWidth="1"/>
  </cols>
  <sheetData>
    <row r="3" spans="2:13" ht="29.25" x14ac:dyDescent="0.3">
      <c r="B3" s="29" t="s">
        <v>54</v>
      </c>
    </row>
    <row r="5" spans="2:13" ht="17.25" thickBot="1" x14ac:dyDescent="0.35"/>
    <row r="6" spans="2:13" ht="51" customHeight="1" x14ac:dyDescent="0.3">
      <c r="B6" s="30" t="s">
        <v>58</v>
      </c>
      <c r="C6" s="31" t="s">
        <v>23</v>
      </c>
      <c r="D6" s="31" t="s">
        <v>24</v>
      </c>
      <c r="E6" s="31" t="s">
        <v>25</v>
      </c>
      <c r="F6" s="31" t="s">
        <v>26</v>
      </c>
      <c r="G6" s="31" t="s">
        <v>59</v>
      </c>
      <c r="H6" s="31" t="s">
        <v>60</v>
      </c>
      <c r="I6" s="31" t="s">
        <v>61</v>
      </c>
      <c r="J6" s="31" t="s">
        <v>62</v>
      </c>
      <c r="K6" s="31" t="s">
        <v>27</v>
      </c>
      <c r="L6" s="31" t="s">
        <v>28</v>
      </c>
      <c r="M6" s="45" t="s">
        <v>29</v>
      </c>
    </row>
    <row r="7" spans="2:13" x14ac:dyDescent="0.3">
      <c r="B7" s="27">
        <v>1</v>
      </c>
      <c r="C7" s="2">
        <v>2799.86</v>
      </c>
      <c r="D7" s="2">
        <v>0.43374000000000001</v>
      </c>
      <c r="E7" s="2">
        <v>3.4693999999999998</v>
      </c>
      <c r="F7" s="2">
        <v>0.95543999999999996</v>
      </c>
      <c r="G7" s="2">
        <v>0.10460999999999999</v>
      </c>
      <c r="H7" s="2">
        <v>0.45130999999999999</v>
      </c>
      <c r="I7" s="2">
        <v>0.11552</v>
      </c>
      <c r="J7" s="2">
        <v>0.11167000000000001</v>
      </c>
      <c r="K7" s="2">
        <v>0.21145</v>
      </c>
      <c r="L7" s="2">
        <v>3.0259100000000001</v>
      </c>
      <c r="M7" s="46">
        <v>0.81857999999999997</v>
      </c>
    </row>
    <row r="8" spans="2:13" x14ac:dyDescent="0.3">
      <c r="B8" s="27">
        <v>2</v>
      </c>
      <c r="C8" s="2">
        <v>4592.3500000000004</v>
      </c>
      <c r="D8" s="2">
        <v>0.36065999999999998</v>
      </c>
      <c r="E8" s="2">
        <v>2.6334</v>
      </c>
      <c r="F8" s="2">
        <v>0.93520999999999999</v>
      </c>
      <c r="G8" s="2">
        <v>0.35922999999999999</v>
      </c>
      <c r="H8" s="2">
        <v>0.45726</v>
      </c>
      <c r="I8" s="2">
        <v>0.41620000000000001</v>
      </c>
      <c r="J8" s="2">
        <v>0.41087000000000001</v>
      </c>
      <c r="K8" s="2">
        <v>0.19342000000000001</v>
      </c>
      <c r="L8" s="2">
        <v>2.22784</v>
      </c>
      <c r="M8" s="46">
        <v>0.81232000000000004</v>
      </c>
    </row>
    <row r="9" spans="2:13" x14ac:dyDescent="0.3">
      <c r="B9" s="27">
        <v>3</v>
      </c>
      <c r="C9" s="2">
        <v>6097.48</v>
      </c>
      <c r="D9" s="2">
        <v>0.31784000000000001</v>
      </c>
      <c r="E9" s="2">
        <v>1.95241</v>
      </c>
      <c r="F9" s="2">
        <v>0.90866000000000002</v>
      </c>
      <c r="G9" s="2">
        <v>0.88104000000000005</v>
      </c>
      <c r="H9" s="2">
        <v>0.85843000000000003</v>
      </c>
      <c r="I9" s="2">
        <v>0.93457999999999997</v>
      </c>
      <c r="J9" s="2">
        <v>0.92615000000000003</v>
      </c>
      <c r="K9" s="2">
        <v>0.18373999999999999</v>
      </c>
      <c r="L9" s="2">
        <v>1.1318699999999999</v>
      </c>
      <c r="M9" s="46">
        <v>0.80679999999999996</v>
      </c>
    </row>
    <row r="10" spans="2:13" x14ac:dyDescent="0.3">
      <c r="B10" s="27">
        <v>4</v>
      </c>
      <c r="C10" s="2">
        <v>7493.71</v>
      </c>
      <c r="D10" s="2">
        <v>0.28048000000000001</v>
      </c>
      <c r="E10" s="2">
        <v>1.23163</v>
      </c>
      <c r="F10" s="2">
        <v>0.88446999999999998</v>
      </c>
      <c r="G10" s="2">
        <v>0.97813000000000005</v>
      </c>
      <c r="H10" s="2">
        <v>0.9597</v>
      </c>
      <c r="I10" s="2">
        <v>0.99165000000000003</v>
      </c>
      <c r="J10" s="2">
        <v>0.98429999999999995</v>
      </c>
      <c r="K10" s="2">
        <v>0.15948999999999999</v>
      </c>
      <c r="L10" s="2">
        <v>0.69298000000000004</v>
      </c>
      <c r="M10" s="46">
        <v>0.80013999999999996</v>
      </c>
    </row>
    <row r="11" spans="2:13" x14ac:dyDescent="0.3">
      <c r="B11" s="27">
        <v>5</v>
      </c>
      <c r="C11" s="2">
        <v>8927.31</v>
      </c>
      <c r="D11" s="2">
        <v>0.25369999999999998</v>
      </c>
      <c r="E11" s="2">
        <v>0.95374000000000003</v>
      </c>
      <c r="F11" s="2">
        <v>0.87031000000000003</v>
      </c>
      <c r="G11" s="2">
        <v>0.99551000000000001</v>
      </c>
      <c r="H11" s="2">
        <v>0.98431000000000002</v>
      </c>
      <c r="I11" s="2">
        <v>0.99470000000000003</v>
      </c>
      <c r="J11" s="2">
        <v>0.98836000000000002</v>
      </c>
      <c r="K11" s="2">
        <v>0.14854999999999999</v>
      </c>
      <c r="L11" s="2">
        <v>0.60711999999999999</v>
      </c>
      <c r="M11" s="46">
        <v>0.79356000000000004</v>
      </c>
    </row>
    <row r="12" spans="2:13" x14ac:dyDescent="0.3">
      <c r="B12" s="27">
        <v>6</v>
      </c>
      <c r="C12" s="2">
        <v>10392</v>
      </c>
      <c r="D12" s="2">
        <v>0.23835000000000001</v>
      </c>
      <c r="E12" s="2">
        <v>0.83714</v>
      </c>
      <c r="F12" s="2">
        <v>0.86280000000000001</v>
      </c>
      <c r="G12" s="2">
        <v>0.99561999999999995</v>
      </c>
      <c r="H12" s="2">
        <v>0.99665000000000004</v>
      </c>
      <c r="I12" s="2">
        <v>0.99495</v>
      </c>
      <c r="J12" s="2">
        <v>0.98985999999999996</v>
      </c>
      <c r="K12" s="2">
        <v>0.14115</v>
      </c>
      <c r="L12" s="2">
        <v>0.55618999999999996</v>
      </c>
      <c r="M12" s="46">
        <v>0.78910000000000002</v>
      </c>
    </row>
    <row r="13" spans="2:13" x14ac:dyDescent="0.3">
      <c r="B13" s="27">
        <v>7</v>
      </c>
      <c r="C13" s="2">
        <v>11859.8</v>
      </c>
      <c r="D13" s="2">
        <v>0.22789999999999999</v>
      </c>
      <c r="E13" s="2">
        <v>0.76420999999999994</v>
      </c>
      <c r="F13" s="2">
        <v>0.85807999999999995</v>
      </c>
      <c r="G13" s="2">
        <v>0.99699000000000004</v>
      </c>
      <c r="H13" s="2">
        <v>0.99807000000000001</v>
      </c>
      <c r="I13" s="2">
        <v>0.995</v>
      </c>
      <c r="J13" s="2">
        <v>0.99102000000000001</v>
      </c>
      <c r="K13" s="2">
        <v>0.13406000000000001</v>
      </c>
      <c r="L13" s="2">
        <v>0.52334000000000003</v>
      </c>
      <c r="M13" s="46">
        <v>0.78669</v>
      </c>
    </row>
    <row r="14" spans="2:13" x14ac:dyDescent="0.3">
      <c r="B14" s="27">
        <v>8</v>
      </c>
      <c r="C14" s="2">
        <v>13360.1</v>
      </c>
      <c r="D14" s="2">
        <v>0.21689</v>
      </c>
      <c r="E14" s="2">
        <v>0.70277000000000001</v>
      </c>
      <c r="F14" s="2">
        <v>0.85426000000000002</v>
      </c>
      <c r="G14" s="2">
        <v>0.99848000000000003</v>
      </c>
      <c r="H14" s="2">
        <v>0.99761</v>
      </c>
      <c r="I14" s="2">
        <v>0.995</v>
      </c>
      <c r="J14" s="2">
        <v>0.99182999999999999</v>
      </c>
      <c r="K14" s="2">
        <v>0.12816</v>
      </c>
      <c r="L14" s="2">
        <v>0.48674000000000001</v>
      </c>
      <c r="M14" s="46">
        <v>0.78515000000000001</v>
      </c>
    </row>
    <row r="15" spans="2:13" x14ac:dyDescent="0.3">
      <c r="B15" s="27">
        <v>9</v>
      </c>
      <c r="C15" s="2">
        <v>14836.6</v>
      </c>
      <c r="D15" s="2">
        <v>0.21043000000000001</v>
      </c>
      <c r="E15" s="2">
        <v>0.66515000000000002</v>
      </c>
      <c r="F15" s="2">
        <v>0.84897</v>
      </c>
      <c r="G15" s="2">
        <v>0.99917999999999996</v>
      </c>
      <c r="H15" s="2">
        <v>0.99814999999999998</v>
      </c>
      <c r="I15" s="2">
        <v>0.995</v>
      </c>
      <c r="J15" s="2">
        <v>0.99173999999999995</v>
      </c>
      <c r="K15" s="2">
        <v>0.12422999999999999</v>
      </c>
      <c r="L15" s="2">
        <v>0.47260000000000002</v>
      </c>
      <c r="M15" s="46">
        <v>0.78254999999999997</v>
      </c>
    </row>
    <row r="16" spans="2:13" x14ac:dyDescent="0.3">
      <c r="B16" s="27">
        <v>10</v>
      </c>
      <c r="C16" s="2">
        <v>16291.3</v>
      </c>
      <c r="D16" s="2">
        <v>0.2064</v>
      </c>
      <c r="E16" s="2">
        <v>0.63314000000000004</v>
      </c>
      <c r="F16" s="2">
        <v>0.84769000000000005</v>
      </c>
      <c r="G16" s="2">
        <v>0.99938000000000005</v>
      </c>
      <c r="H16" s="2">
        <v>0.99968000000000001</v>
      </c>
      <c r="I16" s="2">
        <v>0.995</v>
      </c>
      <c r="J16" s="2">
        <v>0.99151999999999996</v>
      </c>
      <c r="K16" s="2">
        <v>0.12101000000000001</v>
      </c>
      <c r="L16" s="2">
        <v>0.45349</v>
      </c>
      <c r="M16" s="46">
        <v>0.78044000000000002</v>
      </c>
    </row>
    <row r="17" spans="2:13" x14ac:dyDescent="0.3">
      <c r="B17" s="27">
        <v>11</v>
      </c>
      <c r="C17" s="2">
        <v>17478.7</v>
      </c>
      <c r="D17" s="2">
        <v>0.13593</v>
      </c>
      <c r="E17" s="2">
        <v>0.56762000000000001</v>
      </c>
      <c r="F17" s="2">
        <v>0.78161000000000003</v>
      </c>
      <c r="G17" s="2">
        <v>0.99938000000000005</v>
      </c>
      <c r="H17" s="2">
        <v>0.99853999999999998</v>
      </c>
      <c r="I17" s="2">
        <v>0.995</v>
      </c>
      <c r="J17" s="2">
        <v>0.99236999999999997</v>
      </c>
      <c r="K17" s="2">
        <v>0.11934</v>
      </c>
      <c r="L17" s="2">
        <v>0.43686000000000003</v>
      </c>
      <c r="M17" s="46">
        <v>0.77676999999999996</v>
      </c>
    </row>
    <row r="18" spans="2:13" x14ac:dyDescent="0.3">
      <c r="B18" s="27">
        <v>12</v>
      </c>
      <c r="C18" s="2">
        <v>18611.8</v>
      </c>
      <c r="D18" s="2">
        <v>0.12715000000000001</v>
      </c>
      <c r="E18" s="2">
        <v>0.53271000000000002</v>
      </c>
      <c r="F18" s="2">
        <v>0.77561999999999998</v>
      </c>
      <c r="G18" s="2">
        <v>0.99904999999999999</v>
      </c>
      <c r="H18" s="2">
        <v>0.99968999999999997</v>
      </c>
      <c r="I18" s="2">
        <v>0.995</v>
      </c>
      <c r="J18" s="2">
        <v>0.99263999999999997</v>
      </c>
      <c r="K18" s="2">
        <v>0.11094</v>
      </c>
      <c r="L18" s="2">
        <v>0.40871000000000002</v>
      </c>
      <c r="M18" s="46">
        <v>0.77610000000000001</v>
      </c>
    </row>
    <row r="19" spans="2:13" x14ac:dyDescent="0.3">
      <c r="B19" s="27">
        <v>13</v>
      </c>
      <c r="C19" s="2">
        <v>19741</v>
      </c>
      <c r="D19" s="2">
        <v>0.12114</v>
      </c>
      <c r="E19" s="2">
        <v>0.50209999999999999</v>
      </c>
      <c r="F19" s="2">
        <v>0.77220999999999995</v>
      </c>
      <c r="G19" s="2">
        <v>0.99922</v>
      </c>
      <c r="H19" s="2">
        <v>0.99955000000000005</v>
      </c>
      <c r="I19" s="2">
        <v>0.995</v>
      </c>
      <c r="J19" s="2">
        <v>0.99234999999999995</v>
      </c>
      <c r="K19" s="2">
        <v>0.10861</v>
      </c>
      <c r="L19" s="2">
        <v>0.39512999999999998</v>
      </c>
      <c r="M19" s="46">
        <v>0.77583999999999997</v>
      </c>
    </row>
    <row r="20" spans="2:13" x14ac:dyDescent="0.3">
      <c r="B20" s="27">
        <v>14</v>
      </c>
      <c r="C20" s="2">
        <v>20877.900000000001</v>
      </c>
      <c r="D20" s="2">
        <v>0.11598</v>
      </c>
      <c r="E20" s="2">
        <v>0.48158000000000001</v>
      </c>
      <c r="F20" s="2">
        <v>0.77222999999999997</v>
      </c>
      <c r="G20" s="2">
        <v>0.99917999999999996</v>
      </c>
      <c r="H20" s="2">
        <v>0.99938000000000005</v>
      </c>
      <c r="I20" s="2">
        <v>0.995</v>
      </c>
      <c r="J20" s="2">
        <v>0.99238000000000004</v>
      </c>
      <c r="K20" s="2">
        <v>0.10536</v>
      </c>
      <c r="L20" s="2">
        <v>0.37919999999999998</v>
      </c>
      <c r="M20" s="46">
        <v>0.77493000000000001</v>
      </c>
    </row>
    <row r="21" spans="2:13" x14ac:dyDescent="0.3">
      <c r="B21" s="27">
        <v>15</v>
      </c>
      <c r="C21" s="2">
        <v>22013.599999999999</v>
      </c>
      <c r="D21" s="2">
        <v>0.11199000000000001</v>
      </c>
      <c r="E21" s="2">
        <v>0.46544000000000002</v>
      </c>
      <c r="F21" s="2">
        <v>0.76905000000000001</v>
      </c>
      <c r="G21" s="2">
        <v>0.99953999999999998</v>
      </c>
      <c r="H21" s="2">
        <v>0.99963000000000002</v>
      </c>
      <c r="I21" s="2">
        <v>0.995</v>
      </c>
      <c r="J21" s="2">
        <v>0.99280999999999997</v>
      </c>
      <c r="K21" s="2">
        <v>9.9959999999999993E-2</v>
      </c>
      <c r="L21" s="2">
        <v>0.36137999999999998</v>
      </c>
      <c r="M21" s="46">
        <v>0.77425999999999995</v>
      </c>
    </row>
    <row r="22" spans="2:13" x14ac:dyDescent="0.3">
      <c r="B22" s="27">
        <v>16</v>
      </c>
      <c r="C22" s="2">
        <v>23150.400000000001</v>
      </c>
      <c r="D22" s="2">
        <v>0.10897</v>
      </c>
      <c r="E22" s="2">
        <v>0.44655</v>
      </c>
      <c r="F22" s="2">
        <v>0.76819000000000004</v>
      </c>
      <c r="G22" s="2">
        <v>0.99939</v>
      </c>
      <c r="H22" s="2">
        <v>0.99944999999999995</v>
      </c>
      <c r="I22" s="2">
        <v>0.99495999999999996</v>
      </c>
      <c r="J22" s="2">
        <v>0.99268999999999996</v>
      </c>
      <c r="K22" s="2">
        <v>0.10172</v>
      </c>
      <c r="L22" s="2">
        <v>0.35831000000000002</v>
      </c>
      <c r="M22" s="46">
        <v>0.77437999999999996</v>
      </c>
    </row>
    <row r="23" spans="2:13" x14ac:dyDescent="0.3">
      <c r="B23" s="27">
        <v>17</v>
      </c>
      <c r="C23" s="2">
        <v>24285.9</v>
      </c>
      <c r="D23" s="2">
        <v>0.10571999999999999</v>
      </c>
      <c r="E23" s="2">
        <v>0.43493999999999999</v>
      </c>
      <c r="F23" s="2">
        <v>0.76971000000000001</v>
      </c>
      <c r="G23" s="2">
        <v>0.99956</v>
      </c>
      <c r="H23" s="2">
        <v>0.99985999999999997</v>
      </c>
      <c r="I23" s="2">
        <v>0.995</v>
      </c>
      <c r="J23" s="2">
        <v>0.99287999999999998</v>
      </c>
      <c r="K23" s="2">
        <v>9.894E-2</v>
      </c>
      <c r="L23" s="2">
        <v>0.34350999999999998</v>
      </c>
      <c r="M23" s="46">
        <v>0.77405000000000002</v>
      </c>
    </row>
    <row r="24" spans="2:13" x14ac:dyDescent="0.3">
      <c r="B24" s="27">
        <v>18</v>
      </c>
      <c r="C24" s="2">
        <v>25414.7</v>
      </c>
      <c r="D24" s="2">
        <v>0.10309</v>
      </c>
      <c r="E24" s="2">
        <v>0.42381999999999997</v>
      </c>
      <c r="F24" s="2">
        <v>0.76563999999999999</v>
      </c>
      <c r="G24" s="2">
        <v>0.99973000000000001</v>
      </c>
      <c r="H24" s="2">
        <v>1</v>
      </c>
      <c r="I24" s="2">
        <v>0.995</v>
      </c>
      <c r="J24" s="2">
        <v>0.99295999999999995</v>
      </c>
      <c r="K24" s="2">
        <v>9.7379999999999994E-2</v>
      </c>
      <c r="L24" s="2">
        <v>0.33866000000000002</v>
      </c>
      <c r="M24" s="46">
        <v>0.77385000000000004</v>
      </c>
    </row>
    <row r="25" spans="2:13" x14ac:dyDescent="0.3">
      <c r="B25" s="27">
        <v>19</v>
      </c>
      <c r="C25" s="2">
        <v>26542.5</v>
      </c>
      <c r="D25" s="2">
        <v>0.10083</v>
      </c>
      <c r="E25" s="2">
        <v>0.41704000000000002</v>
      </c>
      <c r="F25" s="2">
        <v>0.76505000000000001</v>
      </c>
      <c r="G25" s="2">
        <v>0.99978</v>
      </c>
      <c r="H25" s="2">
        <v>0.99990999999999997</v>
      </c>
      <c r="I25" s="2">
        <v>0.995</v>
      </c>
      <c r="J25" s="2">
        <v>0.99304999999999999</v>
      </c>
      <c r="K25" s="2">
        <v>9.5269999999999994E-2</v>
      </c>
      <c r="L25" s="2">
        <v>0.33178999999999997</v>
      </c>
      <c r="M25" s="46">
        <v>0.77359999999999995</v>
      </c>
    </row>
    <row r="26" spans="2:13" ht="17.25" thickBot="1" x14ac:dyDescent="0.35">
      <c r="B26" s="28">
        <v>20</v>
      </c>
      <c r="C26" s="3">
        <v>27665.9</v>
      </c>
      <c r="D26" s="3">
        <v>9.9089999999999998E-2</v>
      </c>
      <c r="E26" s="3">
        <v>0.41078999999999999</v>
      </c>
      <c r="F26" s="3">
        <v>0.76615999999999995</v>
      </c>
      <c r="G26" s="3">
        <v>0.99977000000000005</v>
      </c>
      <c r="H26" s="3">
        <v>1</v>
      </c>
      <c r="I26" s="3">
        <v>0.995</v>
      </c>
      <c r="J26" s="3">
        <v>0.99319999999999997</v>
      </c>
      <c r="K26" s="3">
        <v>9.4600000000000004E-2</v>
      </c>
      <c r="L26" s="3">
        <v>0.32971</v>
      </c>
      <c r="M26" s="47">
        <v>0.77381</v>
      </c>
    </row>
    <row r="27" spans="2:13" x14ac:dyDescent="0.3"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</row>
    <row r="28" spans="2:13" x14ac:dyDescent="0.3"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</row>
    <row r="29" spans="2:13" x14ac:dyDescent="0.3"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</row>
    <row r="30" spans="2:13" x14ac:dyDescent="0.3"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spans="2:13" x14ac:dyDescent="0.3"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2:13" x14ac:dyDescent="0.3"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</row>
    <row r="33" spans="2:18" x14ac:dyDescent="0.3"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</row>
    <row r="34" spans="2:18" x14ac:dyDescent="0.3"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</row>
    <row r="35" spans="2:18" x14ac:dyDescent="0.3"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</row>
    <row r="36" spans="2:18" x14ac:dyDescent="0.3"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</row>
    <row r="37" spans="2:18" ht="17.25" thickBot="1" x14ac:dyDescent="0.35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</row>
    <row r="38" spans="2:18" ht="17.25" x14ac:dyDescent="0.3"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O38" s="32">
        <v>1</v>
      </c>
      <c r="P38" s="33" t="s">
        <v>30</v>
      </c>
      <c r="Q38" s="33" t="s">
        <v>41</v>
      </c>
      <c r="R38" s="34" t="s">
        <v>40</v>
      </c>
    </row>
    <row r="39" spans="2:18" ht="17.25" x14ac:dyDescent="0.3"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O39" s="35">
        <v>2</v>
      </c>
      <c r="P39" s="36" t="s">
        <v>31</v>
      </c>
      <c r="Q39" s="36" t="s">
        <v>42</v>
      </c>
      <c r="R39" s="37" t="s">
        <v>43</v>
      </c>
    </row>
    <row r="40" spans="2:18" ht="17.25" x14ac:dyDescent="0.3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O40" s="35">
        <v>3</v>
      </c>
      <c r="P40" s="36" t="s">
        <v>32</v>
      </c>
      <c r="Q40" s="36" t="s">
        <v>48</v>
      </c>
      <c r="R40" s="37" t="s">
        <v>47</v>
      </c>
    </row>
    <row r="41" spans="2:18" ht="17.25" x14ac:dyDescent="0.3"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O41" s="35">
        <v>4</v>
      </c>
      <c r="P41" s="36" t="s">
        <v>33</v>
      </c>
      <c r="Q41" s="36" t="s">
        <v>44</v>
      </c>
      <c r="R41" s="37" t="s">
        <v>45</v>
      </c>
    </row>
    <row r="42" spans="2:18" ht="17.25" x14ac:dyDescent="0.3"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O42" s="35">
        <v>5</v>
      </c>
      <c r="P42" s="36" t="s">
        <v>34</v>
      </c>
      <c r="Q42" s="36" t="s">
        <v>46</v>
      </c>
      <c r="R42" s="37" t="s">
        <v>51</v>
      </c>
    </row>
    <row r="43" spans="2:18" ht="17.25" x14ac:dyDescent="0.3"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O43" s="35">
        <v>6</v>
      </c>
      <c r="P43" s="36" t="s">
        <v>35</v>
      </c>
      <c r="Q43" s="36" t="s">
        <v>41</v>
      </c>
      <c r="R43" s="37" t="s">
        <v>40</v>
      </c>
    </row>
    <row r="44" spans="2:18" ht="17.25" x14ac:dyDescent="0.3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O44" s="35">
        <v>7</v>
      </c>
      <c r="P44" s="36" t="s">
        <v>36</v>
      </c>
      <c r="Q44" s="36" t="s">
        <v>42</v>
      </c>
      <c r="R44" s="37" t="s">
        <v>43</v>
      </c>
    </row>
    <row r="45" spans="2:18" ht="17.25" x14ac:dyDescent="0.3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O45" s="35">
        <v>8</v>
      </c>
      <c r="P45" s="36" t="s">
        <v>37</v>
      </c>
      <c r="Q45" s="36" t="s">
        <v>48</v>
      </c>
      <c r="R45" s="37" t="s">
        <v>47</v>
      </c>
    </row>
    <row r="46" spans="2:18" ht="17.25" x14ac:dyDescent="0.3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O46" s="35">
        <v>9</v>
      </c>
      <c r="P46" s="36" t="s">
        <v>38</v>
      </c>
      <c r="Q46" s="36" t="s">
        <v>49</v>
      </c>
      <c r="R46" s="37" t="s">
        <v>52</v>
      </c>
    </row>
    <row r="47" spans="2:18" ht="18" thickBot="1" x14ac:dyDescent="0.35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O47" s="38">
        <v>10</v>
      </c>
      <c r="P47" s="39" t="s">
        <v>39</v>
      </c>
      <c r="Q47" s="39" t="s">
        <v>50</v>
      </c>
      <c r="R47" s="40" t="s">
        <v>53</v>
      </c>
    </row>
    <row r="48" spans="2:18" x14ac:dyDescent="0.3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2:13" x14ac:dyDescent="0.3"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</row>
    <row r="50" spans="2:13" x14ac:dyDescent="0.3"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3" x14ac:dyDescent="0.3"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</row>
    <row r="52" spans="2:13" x14ac:dyDescent="0.3"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2:13" x14ac:dyDescent="0.3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2:13" x14ac:dyDescent="0.3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</row>
    <row r="55" spans="2:13" x14ac:dyDescent="0.3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</row>
    <row r="56" spans="2:13" x14ac:dyDescent="0.3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</row>
    <row r="57" spans="2:13" x14ac:dyDescent="0.3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</row>
    <row r="58" spans="2:13" x14ac:dyDescent="0.3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</row>
    <row r="59" spans="2:13" x14ac:dyDescent="0.3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</row>
    <row r="60" spans="2:13" x14ac:dyDescent="0.3"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</row>
    <row r="61" spans="2:13" x14ac:dyDescent="0.3"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3" x14ac:dyDescent="0.3"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3" x14ac:dyDescent="0.3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</row>
    <row r="64" spans="2:13" x14ac:dyDescent="0.3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</row>
    <row r="65" spans="2:13" x14ac:dyDescent="0.3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</row>
    <row r="66" spans="2:13" x14ac:dyDescent="0.3"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</row>
    <row r="67" spans="2:13" x14ac:dyDescent="0.3"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</row>
    <row r="68" spans="2:13" x14ac:dyDescent="0.3"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</row>
    <row r="69" spans="2:13" x14ac:dyDescent="0.3"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</row>
    <row r="70" spans="2:13" x14ac:dyDescent="0.3"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</row>
    <row r="71" spans="2:13" x14ac:dyDescent="0.3"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</row>
    <row r="72" spans="2:13" x14ac:dyDescent="0.3"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</row>
    <row r="74" spans="2:13" x14ac:dyDescent="0.3"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</row>
    <row r="75" spans="2:13" x14ac:dyDescent="0.3"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</row>
    <row r="76" spans="2:13" x14ac:dyDescent="0.3"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</row>
    <row r="77" spans="2:13" x14ac:dyDescent="0.3"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</row>
    <row r="78" spans="2:13" x14ac:dyDescent="0.3"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</row>
    <row r="79" spans="2:13" x14ac:dyDescent="0.3"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</row>
    <row r="80" spans="2:13" x14ac:dyDescent="0.3"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</row>
    <row r="81" spans="2:13" x14ac:dyDescent="0.3"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</row>
    <row r="82" spans="2:13" x14ac:dyDescent="0.3"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</row>
    <row r="83" spans="2:13" x14ac:dyDescent="0.3"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</row>
    <row r="84" spans="2:13" x14ac:dyDescent="0.3"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</row>
    <row r="85" spans="2:13" x14ac:dyDescent="0.3"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</row>
    <row r="86" spans="2:13" x14ac:dyDescent="0.3"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</row>
    <row r="87" spans="2:13" x14ac:dyDescent="0.3"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</row>
    <row r="88" spans="2:13" x14ac:dyDescent="0.3"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</row>
    <row r="89" spans="2:13" x14ac:dyDescent="0.3"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</row>
    <row r="90" spans="2:13" x14ac:dyDescent="0.3"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</row>
    <row r="91" spans="2:13" x14ac:dyDescent="0.3"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</row>
    <row r="92" spans="2:13" x14ac:dyDescent="0.3"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</row>
    <row r="93" spans="2:13" x14ac:dyDescent="0.3"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</row>
    <row r="94" spans="2:13" x14ac:dyDescent="0.3"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</row>
    <row r="95" spans="2:13" x14ac:dyDescent="0.3"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</row>
    <row r="96" spans="2:13" x14ac:dyDescent="0.3"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</row>
    <row r="97" spans="2:13" x14ac:dyDescent="0.3"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</row>
    <row r="98" spans="2:13" x14ac:dyDescent="0.3"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</row>
    <row r="99" spans="2:13" x14ac:dyDescent="0.3"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</row>
    <row r="100" spans="2:13" x14ac:dyDescent="0.3"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</row>
    <row r="101" spans="2:13" x14ac:dyDescent="0.3"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</row>
    <row r="102" spans="2:13" x14ac:dyDescent="0.3"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</row>
    <row r="103" spans="2:13" x14ac:dyDescent="0.3"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</row>
    <row r="104" spans="2:13" x14ac:dyDescent="0.3"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</row>
    <row r="105" spans="2:13" x14ac:dyDescent="0.3"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</row>
    <row r="106" spans="2:13" x14ac:dyDescent="0.3"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</row>
    <row r="107" spans="2:13" x14ac:dyDescent="0.3">
      <c r="C107">
        <f>C106/3600</f>
        <v>0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GNERAL INFORMATION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SHIPS</dc:creator>
  <cp:lastModifiedBy>SHIPS</cp:lastModifiedBy>
  <dcterms:created xsi:type="dcterms:W3CDTF">2026-01-22T06:47:50Z</dcterms:created>
  <dcterms:modified xsi:type="dcterms:W3CDTF">2026-02-20T03:32:15Z</dcterms:modified>
</cp:coreProperties>
</file>