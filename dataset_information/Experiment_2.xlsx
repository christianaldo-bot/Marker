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 Marker\Project\dataset_information\"/>
    </mc:Choice>
  </mc:AlternateContent>
  <bookViews>
    <workbookView xWindow="0" yWindow="0" windowWidth="28770" windowHeight="17535" activeTab="1"/>
  </bookViews>
  <sheets>
    <sheet name="GNERAL INFORMATION" sheetId="1" r:id="rId1"/>
    <sheet name="Resul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7" i="2" l="1"/>
  <c r="E12" i="1" l="1"/>
  <c r="E13" i="1" l="1"/>
  <c r="E14" i="1" s="1"/>
  <c r="E15" i="1" l="1"/>
</calcChain>
</file>

<file path=xl/sharedStrings.xml><?xml version="1.0" encoding="utf-8"?>
<sst xmlns="http://schemas.openxmlformats.org/spreadsheetml/2006/main" count="76" uniqueCount="66">
  <si>
    <t>TRAINING MODEL FOR AR MARKER DETECTION</t>
    <phoneticPr fontId="1" type="noConversion"/>
  </si>
  <si>
    <t>variabel</t>
    <phoneticPr fontId="1" type="noConversion"/>
  </si>
  <si>
    <t>ID ARUCO Marker</t>
    <phoneticPr fontId="1" type="noConversion"/>
  </si>
  <si>
    <t>=</t>
    <phoneticPr fontId="1" type="noConversion"/>
  </si>
  <si>
    <t>=</t>
    <phoneticPr fontId="1" type="noConversion"/>
  </si>
  <si>
    <t>(0-9)</t>
    <phoneticPr fontId="1" type="noConversion"/>
  </si>
  <si>
    <t>Defect</t>
    <phoneticPr fontId="1" type="noConversion"/>
  </si>
  <si>
    <t>there are 6 defect</t>
    <phoneticPr fontId="1" type="noConversion"/>
  </si>
  <si>
    <t>Homohraphy Tranformation</t>
    <phoneticPr fontId="1" type="noConversion"/>
  </si>
  <si>
    <t>Image</t>
    <phoneticPr fontId="1" type="noConversion"/>
  </si>
  <si>
    <t>Augmentation</t>
    <phoneticPr fontId="1" type="noConversion"/>
  </si>
  <si>
    <t>performing 10 homographies.</t>
  </si>
  <si>
    <t>applying 5 types of image augmentation</t>
  </si>
  <si>
    <t>No</t>
    <phoneticPr fontId="1" type="noConversion"/>
  </si>
  <si>
    <t>Quantity</t>
    <phoneticPr fontId="1" type="noConversion"/>
  </si>
  <si>
    <t>Description</t>
    <phoneticPr fontId="1" type="noConversion"/>
  </si>
  <si>
    <t>Total Image for training</t>
    <phoneticPr fontId="1" type="noConversion"/>
  </si>
  <si>
    <t>GENERAL INFORMATION</t>
    <phoneticPr fontId="1" type="noConversion"/>
  </si>
  <si>
    <t>MODEL TRAINING INFORMATION</t>
    <phoneticPr fontId="1" type="noConversion"/>
  </si>
  <si>
    <t>YOLO Model</t>
    <phoneticPr fontId="1" type="noConversion"/>
  </si>
  <si>
    <t>=</t>
    <phoneticPr fontId="1" type="noConversion"/>
  </si>
  <si>
    <t>YOLOv8n.pt</t>
    <phoneticPr fontId="1" type="noConversion"/>
  </si>
  <si>
    <t>=</t>
    <phoneticPr fontId="1" type="noConversion"/>
  </si>
  <si>
    <t>image size</t>
    <phoneticPr fontId="1" type="noConversion"/>
  </si>
  <si>
    <t>batch</t>
    <phoneticPr fontId="1" type="noConversion"/>
  </si>
  <si>
    <t>time</t>
  </si>
  <si>
    <t>train/box_loss</t>
  </si>
  <si>
    <t>train/cls_loss</t>
  </si>
  <si>
    <t>train/dfl_loss</t>
  </si>
  <si>
    <t>val/box_loss</t>
  </si>
  <si>
    <t>val/cls_loss</t>
  </si>
  <si>
    <t>val/dfl_loss</t>
  </si>
  <si>
    <t>train/cls_loss</t>
    <phoneticPr fontId="1" type="noConversion"/>
  </si>
  <si>
    <t>train/dfl_loss</t>
    <phoneticPr fontId="1" type="noConversion"/>
  </si>
  <si>
    <t>metrics/precision</t>
    <phoneticPr fontId="1" type="noConversion"/>
  </si>
  <si>
    <t>val/dfl_loss</t>
    <phoneticPr fontId="1" type="noConversion"/>
  </si>
  <si>
    <t>Loss for bounding box accuracy.</t>
  </si>
  <si>
    <t>Loss for class classification.</t>
  </si>
  <si>
    <t>YOLO predict the marker ID</t>
    <phoneticPr fontId="1" type="noConversion"/>
  </si>
  <si>
    <t>Calculating how many marker ID predictions are correct out of all detected markers</t>
  </si>
  <si>
    <t>calculation for recall</t>
    <phoneticPr fontId="1" type="noConversion"/>
  </si>
  <si>
    <t>Distribution Focal Loss</t>
  </si>
  <si>
    <t>model’s ability to detect objects</t>
  </si>
  <si>
    <t>precision of the bounding boxes</t>
  </si>
  <si>
    <t>Calculating how many markers are found out of all existing markers.</t>
    <phoneticPr fontId="1" type="noConversion"/>
  </si>
  <si>
    <t>Calculating the success rate of object recognition</t>
  </si>
  <si>
    <t>Training Result</t>
    <phoneticPr fontId="1" type="noConversion"/>
  </si>
  <si>
    <t>epoch</t>
    <phoneticPr fontId="1" type="noConversion"/>
  </si>
  <si>
    <t>=</t>
    <phoneticPr fontId="1" type="noConversion"/>
  </si>
  <si>
    <t>consists of 2 sequential marker Ids (0_1,1_2)</t>
    <phoneticPr fontId="1" type="noConversion"/>
  </si>
  <si>
    <t>epoch</t>
  </si>
  <si>
    <t>metrics/precision(B)</t>
  </si>
  <si>
    <t>metrics/recall(B)</t>
  </si>
  <si>
    <t>metrics/mAP50(B)</t>
  </si>
  <si>
    <t>metrics/mAP50-95(B)</t>
  </si>
  <si>
    <t>train/box_loss</t>
    <phoneticPr fontId="1" type="noConversion"/>
  </si>
  <si>
    <t>YOLO predict the bounding box of the marker</t>
    <phoneticPr fontId="1" type="noConversion"/>
  </si>
  <si>
    <t>YOLO modeling the distribution of possible box positions</t>
    <phoneticPr fontId="1" type="noConversion"/>
  </si>
  <si>
    <t>calculation for precision</t>
    <phoneticPr fontId="1" type="noConversion"/>
  </si>
  <si>
    <t>metrics/recall</t>
    <phoneticPr fontId="1" type="noConversion"/>
  </si>
  <si>
    <t>val/box_loss</t>
    <phoneticPr fontId="1" type="noConversion"/>
  </si>
  <si>
    <t>YOLO predict the bounding box of the marker</t>
    <phoneticPr fontId="1" type="noConversion"/>
  </si>
  <si>
    <t>val/cls_loss</t>
    <phoneticPr fontId="1" type="noConversion"/>
  </si>
  <si>
    <t>metrics/mAP50</t>
    <phoneticPr fontId="1" type="noConversion"/>
  </si>
  <si>
    <t>metrics/mAP50-95</t>
    <phoneticPr fontId="1" type="noConversion"/>
  </si>
  <si>
    <t>Detecting objects and marking their positions as accurately as possible, as quickly as possible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</si>
</sst>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 Unicode MS"/>
      <family val="3"/>
      <charset val="129"/>
    </font>
    <font>
      <sz val="11"/>
      <color theme="1"/>
      <name val="Arial Unicode MS"/>
      <family val="3"/>
      <charset val="129"/>
    </font>
    <font>
      <sz val="12"/>
      <color theme="1"/>
      <name val="Arial Unicode MS"/>
      <family val="3"/>
      <charset val="129"/>
    </font>
    <font>
      <b/>
      <sz val="12"/>
      <color theme="1"/>
      <name val="Arial Unicode MS"/>
      <family val="3"/>
      <charset val="129"/>
    </font>
    <font>
      <b/>
      <sz val="20"/>
      <color theme="1"/>
      <name val="Arial Unicode MS"/>
      <family val="3"/>
      <charset val="129"/>
    </font>
    <font>
      <b/>
      <sz val="24"/>
      <color theme="1"/>
      <name val="Arial Unicode MS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95249</xdr:colOff>
      <xdr:row>5</xdr:row>
      <xdr:rowOff>71438</xdr:rowOff>
    </xdr:from>
    <xdr:to>
      <xdr:col>19</xdr:col>
      <xdr:colOff>416755</xdr:colOff>
      <xdr:row>33</xdr:row>
      <xdr:rowOff>166687</xdr:rowOff>
    </xdr:to>
    <xdr:pic>
      <xdr:nvPicPr>
        <xdr:cNvPr id="4" name="그림 3" descr="D:\AR Marker\Project\runs\experiment_2\aruco_yolo_1_training\results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4312" y="1309688"/>
          <a:ext cx="12823068" cy="6524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2"/>
  <sheetViews>
    <sheetView workbookViewId="0">
      <selection activeCell="J15" sqref="J15"/>
    </sheetView>
  </sheetViews>
  <sheetFormatPr defaultRowHeight="16.5" x14ac:dyDescent="0.3"/>
  <cols>
    <col min="1" max="2" width="9" style="1"/>
    <col min="3" max="3" width="46.5" style="1" bestFit="1" customWidth="1"/>
    <col min="4" max="4" width="3.375" style="1" customWidth="1"/>
    <col min="5" max="5" width="11.625" style="1" bestFit="1" customWidth="1"/>
    <col min="6" max="6" width="44.125" style="1" bestFit="1" customWidth="1"/>
    <col min="7" max="16384" width="9" style="1"/>
  </cols>
  <sheetData>
    <row r="3" spans="2:6" ht="34.5" x14ac:dyDescent="0.3">
      <c r="B3" s="44" t="s">
        <v>0</v>
      </c>
      <c r="C3" s="44"/>
      <c r="D3" s="44"/>
      <c r="E3" s="44"/>
      <c r="F3" s="44"/>
    </row>
    <row r="8" spans="2:6" ht="17.25" thickBot="1" x14ac:dyDescent="0.35">
      <c r="C8" s="1" t="s">
        <v>17</v>
      </c>
    </row>
    <row r="9" spans="2:6" ht="17.25" x14ac:dyDescent="0.3">
      <c r="B9" s="4" t="s">
        <v>13</v>
      </c>
      <c r="C9" s="5" t="s">
        <v>1</v>
      </c>
      <c r="D9" s="5"/>
      <c r="E9" s="5" t="s">
        <v>14</v>
      </c>
      <c r="F9" s="6" t="s">
        <v>15</v>
      </c>
    </row>
    <row r="10" spans="2:6" ht="17.25" x14ac:dyDescent="0.3">
      <c r="B10" s="7">
        <v>1</v>
      </c>
      <c r="C10" s="8" t="s">
        <v>2</v>
      </c>
      <c r="D10" s="9" t="s">
        <v>3</v>
      </c>
      <c r="E10" s="9">
        <v>10</v>
      </c>
      <c r="F10" s="10" t="s">
        <v>5</v>
      </c>
    </row>
    <row r="11" spans="2:6" ht="17.25" x14ac:dyDescent="0.3">
      <c r="B11" s="7">
        <v>2</v>
      </c>
      <c r="C11" s="8" t="s">
        <v>9</v>
      </c>
      <c r="D11" s="9" t="s">
        <v>4</v>
      </c>
      <c r="E11" s="9">
        <v>9</v>
      </c>
      <c r="F11" s="10" t="s">
        <v>49</v>
      </c>
    </row>
    <row r="12" spans="2:6" ht="17.25" x14ac:dyDescent="0.3">
      <c r="B12" s="7">
        <v>3</v>
      </c>
      <c r="C12" s="8" t="s">
        <v>6</v>
      </c>
      <c r="D12" s="9" t="s">
        <v>4</v>
      </c>
      <c r="E12" s="9">
        <f>E11*6</f>
        <v>54</v>
      </c>
      <c r="F12" s="10" t="s">
        <v>7</v>
      </c>
    </row>
    <row r="13" spans="2:6" ht="17.25" x14ac:dyDescent="0.3">
      <c r="B13" s="7">
        <v>4</v>
      </c>
      <c r="C13" s="8" t="s">
        <v>8</v>
      </c>
      <c r="D13" s="9" t="s">
        <v>4</v>
      </c>
      <c r="E13" s="9">
        <f>(E11+E12)*10</f>
        <v>630</v>
      </c>
      <c r="F13" s="10" t="s">
        <v>11</v>
      </c>
    </row>
    <row r="14" spans="2:6" ht="18" thickBot="1" x14ac:dyDescent="0.35">
      <c r="B14" s="11">
        <v>5</v>
      </c>
      <c r="C14" s="12" t="s">
        <v>10</v>
      </c>
      <c r="D14" s="13" t="s">
        <v>3</v>
      </c>
      <c r="E14" s="13">
        <f>E13*5</f>
        <v>3150</v>
      </c>
      <c r="F14" s="14" t="s">
        <v>12</v>
      </c>
    </row>
    <row r="15" spans="2:6" ht="18" thickBot="1" x14ac:dyDescent="0.35">
      <c r="C15" s="15" t="s">
        <v>16</v>
      </c>
      <c r="D15" s="16" t="s">
        <v>4</v>
      </c>
      <c r="E15" s="17">
        <f>E11+E12+E13+E14</f>
        <v>3843</v>
      </c>
    </row>
    <row r="18" spans="3:5" ht="17.25" thickBot="1" x14ac:dyDescent="0.35">
      <c r="C18" s="1" t="s">
        <v>18</v>
      </c>
    </row>
    <row r="19" spans="3:5" x14ac:dyDescent="0.3">
      <c r="C19" s="18" t="s">
        <v>19</v>
      </c>
      <c r="D19" s="19" t="s">
        <v>20</v>
      </c>
      <c r="E19" s="20" t="s">
        <v>21</v>
      </c>
    </row>
    <row r="20" spans="3:5" x14ac:dyDescent="0.3">
      <c r="C20" s="21" t="s">
        <v>23</v>
      </c>
      <c r="D20" s="22" t="s">
        <v>22</v>
      </c>
      <c r="E20" s="23">
        <v>640</v>
      </c>
    </row>
    <row r="21" spans="3:5" x14ac:dyDescent="0.3">
      <c r="C21" s="41" t="s">
        <v>47</v>
      </c>
      <c r="D21" s="42" t="s">
        <v>48</v>
      </c>
      <c r="E21" s="43">
        <v>100</v>
      </c>
    </row>
    <row r="22" spans="3:5" ht="17.25" thickBot="1" x14ac:dyDescent="0.35">
      <c r="C22" s="24" t="s">
        <v>24</v>
      </c>
      <c r="D22" s="25" t="s">
        <v>20</v>
      </c>
      <c r="E22" s="26">
        <v>8</v>
      </c>
    </row>
  </sheetData>
  <mergeCells count="1">
    <mergeCell ref="B3:F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107"/>
  <sheetViews>
    <sheetView tabSelected="1" zoomScale="40" zoomScaleNormal="40" workbookViewId="0">
      <selection activeCell="Y35" sqref="Y35"/>
    </sheetView>
  </sheetViews>
  <sheetFormatPr defaultRowHeight="16.5" x14ac:dyDescent="0.3"/>
  <cols>
    <col min="2" max="2" width="6.5" customWidth="1"/>
    <col min="3" max="3" width="8.5" customWidth="1"/>
    <col min="4" max="4" width="13.125" customWidth="1"/>
    <col min="5" max="5" width="12.5" customWidth="1"/>
    <col min="6" max="6" width="11.875" customWidth="1"/>
    <col min="7" max="7" width="11.5" customWidth="1"/>
    <col min="8" max="8" width="8.5" customWidth="1"/>
    <col min="9" max="9" width="10.125" customWidth="1"/>
    <col min="10" max="10" width="13.375" customWidth="1"/>
    <col min="11" max="11" width="11.875" customWidth="1"/>
    <col min="12" max="12" width="11.25" customWidth="1"/>
    <col min="13" max="13" width="10.625" customWidth="1"/>
    <col min="14" max="15" width="12.75" customWidth="1"/>
    <col min="16" max="16" width="17.75" bestFit="1" customWidth="1"/>
    <col min="17" max="17" width="31.5" bestFit="1" customWidth="1"/>
    <col min="18" max="18" width="89" bestFit="1" customWidth="1"/>
    <col min="19" max="21" width="12.75" customWidth="1"/>
  </cols>
  <sheetData>
    <row r="3" spans="2:13" ht="29.25" x14ac:dyDescent="0.3">
      <c r="B3" s="29" t="s">
        <v>46</v>
      </c>
    </row>
    <row r="5" spans="2:13" ht="17.25" thickBot="1" x14ac:dyDescent="0.35"/>
    <row r="6" spans="2:13" ht="51" customHeight="1" x14ac:dyDescent="0.3">
      <c r="B6" s="30" t="s">
        <v>50</v>
      </c>
      <c r="C6" s="31" t="s">
        <v>25</v>
      </c>
      <c r="D6" s="31" t="s">
        <v>26</v>
      </c>
      <c r="E6" s="31" t="s">
        <v>27</v>
      </c>
      <c r="F6" s="31" t="s">
        <v>28</v>
      </c>
      <c r="G6" s="31" t="s">
        <v>51</v>
      </c>
      <c r="H6" s="31" t="s">
        <v>52</v>
      </c>
      <c r="I6" s="31" t="s">
        <v>53</v>
      </c>
      <c r="J6" s="31" t="s">
        <v>54</v>
      </c>
      <c r="K6" s="31" t="s">
        <v>29</v>
      </c>
      <c r="L6" s="31" t="s">
        <v>30</v>
      </c>
      <c r="M6" s="31" t="s">
        <v>31</v>
      </c>
    </row>
    <row r="7" spans="2:13" x14ac:dyDescent="0.3">
      <c r="B7" s="27">
        <v>1</v>
      </c>
      <c r="C7" s="2">
        <v>1367.34</v>
      </c>
      <c r="D7" s="2">
        <v>0.36510999999999999</v>
      </c>
      <c r="E7" s="2">
        <v>3.43858</v>
      </c>
      <c r="F7" s="2">
        <v>0.88683000000000001</v>
      </c>
      <c r="G7" s="2">
        <v>0.23927999999999999</v>
      </c>
      <c r="H7" s="2">
        <v>0.37098999999999999</v>
      </c>
      <c r="I7" s="2">
        <v>0.14849000000000001</v>
      </c>
      <c r="J7" s="2">
        <v>0.14362</v>
      </c>
      <c r="K7" s="2">
        <v>0.15558</v>
      </c>
      <c r="L7" s="2">
        <v>2.99776</v>
      </c>
      <c r="M7" s="2">
        <v>0.78961999999999999</v>
      </c>
    </row>
    <row r="8" spans="2:13" x14ac:dyDescent="0.3">
      <c r="B8" s="27">
        <v>2</v>
      </c>
      <c r="C8" s="2">
        <v>2216.04</v>
      </c>
      <c r="D8" s="2">
        <v>0.29309000000000002</v>
      </c>
      <c r="E8" s="2">
        <v>2.68459</v>
      </c>
      <c r="F8" s="2">
        <v>0.86663999999999997</v>
      </c>
      <c r="G8" s="2">
        <v>0.27579999999999999</v>
      </c>
      <c r="H8" s="2">
        <v>0.64988999999999997</v>
      </c>
      <c r="I8" s="2">
        <v>0.42641000000000001</v>
      </c>
      <c r="J8" s="2">
        <v>0.42349999999999999</v>
      </c>
      <c r="K8" s="2">
        <v>0.16383</v>
      </c>
      <c r="L8" s="2">
        <v>2.1762100000000002</v>
      </c>
      <c r="M8" s="2">
        <v>0.80735999999999997</v>
      </c>
    </row>
    <row r="9" spans="2:13" x14ac:dyDescent="0.3">
      <c r="B9" s="27">
        <v>3</v>
      </c>
      <c r="C9" s="2">
        <v>2933.35</v>
      </c>
      <c r="D9" s="2">
        <v>0.26255000000000001</v>
      </c>
      <c r="E9" s="2">
        <v>1.8571299999999999</v>
      </c>
      <c r="F9" s="2">
        <v>0.85411000000000004</v>
      </c>
      <c r="G9" s="2">
        <v>0.94145999999999996</v>
      </c>
      <c r="H9" s="2">
        <v>0.93069999999999997</v>
      </c>
      <c r="I9" s="2">
        <v>0.98072999999999999</v>
      </c>
      <c r="J9" s="2">
        <v>0.97499999999999998</v>
      </c>
      <c r="K9" s="2">
        <v>0.15334</v>
      </c>
      <c r="L9" s="2">
        <v>1.0432600000000001</v>
      </c>
      <c r="M9" s="2">
        <v>0.79393999999999998</v>
      </c>
    </row>
    <row r="10" spans="2:13" x14ac:dyDescent="0.3">
      <c r="B10" s="27">
        <v>4</v>
      </c>
      <c r="C10" s="2">
        <v>3611.76</v>
      </c>
      <c r="D10" s="2">
        <v>0.23366999999999999</v>
      </c>
      <c r="E10" s="2">
        <v>1.09944</v>
      </c>
      <c r="F10" s="2">
        <v>0.83733999999999997</v>
      </c>
      <c r="G10" s="2">
        <v>0.99773000000000001</v>
      </c>
      <c r="H10" s="2">
        <v>0.99768000000000001</v>
      </c>
      <c r="I10" s="2">
        <v>0.995</v>
      </c>
      <c r="J10" s="2">
        <v>0.99307000000000001</v>
      </c>
      <c r="K10" s="2">
        <v>0.12944</v>
      </c>
      <c r="L10" s="2">
        <v>0.67320999999999998</v>
      </c>
      <c r="M10" s="2">
        <v>0.78447999999999996</v>
      </c>
    </row>
    <row r="11" spans="2:13" x14ac:dyDescent="0.3">
      <c r="B11" s="27">
        <v>5</v>
      </c>
      <c r="C11" s="2">
        <v>4276.6400000000003</v>
      </c>
      <c r="D11" s="2">
        <v>0.20377000000000001</v>
      </c>
      <c r="E11" s="2">
        <v>0.82413000000000003</v>
      </c>
      <c r="F11" s="2">
        <v>0.82850999999999997</v>
      </c>
      <c r="G11" s="2">
        <v>0.99948000000000004</v>
      </c>
      <c r="H11" s="2">
        <v>1</v>
      </c>
      <c r="I11" s="2">
        <v>0.995</v>
      </c>
      <c r="J11" s="2">
        <v>0.99422999999999995</v>
      </c>
      <c r="K11" s="2">
        <v>0.10921</v>
      </c>
      <c r="L11" s="2">
        <v>0.56857999999999997</v>
      </c>
      <c r="M11" s="2">
        <v>0.78022000000000002</v>
      </c>
    </row>
    <row r="12" spans="2:13" x14ac:dyDescent="0.3">
      <c r="B12" s="27">
        <v>6</v>
      </c>
      <c r="C12" s="2">
        <v>4943.1499999999996</v>
      </c>
      <c r="D12" s="2">
        <v>0.19145999999999999</v>
      </c>
      <c r="E12" s="2">
        <v>0.73199999999999998</v>
      </c>
      <c r="F12" s="2">
        <v>0.82579000000000002</v>
      </c>
      <c r="G12" s="2">
        <v>0.99939999999999996</v>
      </c>
      <c r="H12" s="2">
        <v>1</v>
      </c>
      <c r="I12" s="2">
        <v>0.995</v>
      </c>
      <c r="J12" s="2">
        <v>0.99399000000000004</v>
      </c>
      <c r="K12" s="2">
        <v>0.11036</v>
      </c>
      <c r="L12" s="2">
        <v>0.53944999999999999</v>
      </c>
      <c r="M12" s="2">
        <v>0.77895000000000003</v>
      </c>
    </row>
    <row r="13" spans="2:13" x14ac:dyDescent="0.3">
      <c r="B13" s="27">
        <v>7</v>
      </c>
      <c r="C13" s="2">
        <v>5622.04</v>
      </c>
      <c r="D13" s="2">
        <v>0.17932000000000001</v>
      </c>
      <c r="E13" s="2">
        <v>0.65915000000000001</v>
      </c>
      <c r="F13" s="2">
        <v>0.82489999999999997</v>
      </c>
      <c r="G13" s="2">
        <v>0.99931000000000003</v>
      </c>
      <c r="H13" s="2">
        <v>0.99978999999999996</v>
      </c>
      <c r="I13" s="2">
        <v>0.995</v>
      </c>
      <c r="J13" s="2">
        <v>0.99487000000000003</v>
      </c>
      <c r="K13" s="2">
        <v>0.10421</v>
      </c>
      <c r="L13" s="2">
        <v>0.49720999999999999</v>
      </c>
      <c r="M13" s="2">
        <v>0.77775000000000005</v>
      </c>
    </row>
    <row r="14" spans="2:13" x14ac:dyDescent="0.3">
      <c r="B14" s="27">
        <v>8</v>
      </c>
      <c r="C14" s="2">
        <v>6302.15</v>
      </c>
      <c r="D14" s="2">
        <v>0.17093</v>
      </c>
      <c r="E14" s="2">
        <v>0.61173999999999995</v>
      </c>
      <c r="F14" s="2">
        <v>0.81966000000000006</v>
      </c>
      <c r="G14" s="2">
        <v>0.99939999999999996</v>
      </c>
      <c r="H14" s="2">
        <v>1</v>
      </c>
      <c r="I14" s="2">
        <v>0.995</v>
      </c>
      <c r="J14" s="2">
        <v>0.995</v>
      </c>
      <c r="K14" s="2">
        <v>9.289E-2</v>
      </c>
      <c r="L14" s="2">
        <v>0.47537000000000001</v>
      </c>
      <c r="M14" s="2">
        <v>0.77551999999999999</v>
      </c>
    </row>
    <row r="15" spans="2:13" x14ac:dyDescent="0.3">
      <c r="B15" s="27">
        <v>9</v>
      </c>
      <c r="C15" s="2">
        <v>6961.29</v>
      </c>
      <c r="D15" s="2">
        <v>0.16228999999999999</v>
      </c>
      <c r="E15" s="2">
        <v>0.56903999999999999</v>
      </c>
      <c r="F15" s="2">
        <v>0.81628000000000001</v>
      </c>
      <c r="G15" s="2">
        <v>0.99946000000000002</v>
      </c>
      <c r="H15" s="2">
        <v>1</v>
      </c>
      <c r="I15" s="2">
        <v>0.995</v>
      </c>
      <c r="J15" s="2">
        <v>0.995</v>
      </c>
      <c r="K15" s="2">
        <v>9.2100000000000001E-2</v>
      </c>
      <c r="L15" s="2">
        <v>0.44742999999999999</v>
      </c>
      <c r="M15" s="2">
        <v>0.77470000000000006</v>
      </c>
    </row>
    <row r="16" spans="2:13" x14ac:dyDescent="0.3">
      <c r="B16" s="27">
        <v>10</v>
      </c>
      <c r="C16" s="2">
        <v>7616.79</v>
      </c>
      <c r="D16" s="2">
        <v>0.15989999999999999</v>
      </c>
      <c r="E16" s="2">
        <v>0.54113</v>
      </c>
      <c r="F16" s="2">
        <v>0.81854000000000005</v>
      </c>
      <c r="G16" s="2">
        <v>0.99936000000000003</v>
      </c>
      <c r="H16" s="2">
        <v>1</v>
      </c>
      <c r="I16" s="2">
        <v>0.995</v>
      </c>
      <c r="J16" s="2">
        <v>0.995</v>
      </c>
      <c r="K16" s="2">
        <v>8.7470000000000006E-2</v>
      </c>
      <c r="L16" s="2">
        <v>0.43280999999999997</v>
      </c>
      <c r="M16" s="2">
        <v>0.77446000000000004</v>
      </c>
    </row>
    <row r="17" spans="2:13" x14ac:dyDescent="0.3">
      <c r="B17" s="27">
        <v>11</v>
      </c>
      <c r="C17" s="2">
        <v>8270.9</v>
      </c>
      <c r="D17" s="2">
        <v>0.15673999999999999</v>
      </c>
      <c r="E17" s="2">
        <v>0.52390000000000003</v>
      </c>
      <c r="F17" s="2">
        <v>0.81498000000000004</v>
      </c>
      <c r="G17" s="2">
        <v>0.99951000000000001</v>
      </c>
      <c r="H17" s="2">
        <v>1</v>
      </c>
      <c r="I17" s="2">
        <v>0.995</v>
      </c>
      <c r="J17" s="2">
        <v>0.99497999999999998</v>
      </c>
      <c r="K17" s="2">
        <v>8.9230000000000004E-2</v>
      </c>
      <c r="L17" s="2">
        <v>0.41922999999999999</v>
      </c>
      <c r="M17" s="2">
        <v>0.77370000000000005</v>
      </c>
    </row>
    <row r="18" spans="2:13" x14ac:dyDescent="0.3">
      <c r="B18" s="27">
        <v>12</v>
      </c>
      <c r="C18" s="2">
        <v>8935.2900000000009</v>
      </c>
      <c r="D18" s="2">
        <v>0.14978</v>
      </c>
      <c r="E18" s="2">
        <v>0.49236999999999997</v>
      </c>
      <c r="F18" s="2">
        <v>0.81394</v>
      </c>
      <c r="G18" s="2">
        <v>0.99953000000000003</v>
      </c>
      <c r="H18" s="2">
        <v>1</v>
      </c>
      <c r="I18" s="2">
        <v>0.995</v>
      </c>
      <c r="J18" s="2">
        <v>0.99497999999999998</v>
      </c>
      <c r="K18" s="2">
        <v>8.795E-2</v>
      </c>
      <c r="L18" s="2">
        <v>0.40146999999999999</v>
      </c>
      <c r="M18" s="2">
        <v>0.77300000000000002</v>
      </c>
    </row>
    <row r="19" spans="2:13" x14ac:dyDescent="0.3">
      <c r="B19" s="27">
        <v>13</v>
      </c>
      <c r="C19" s="2">
        <v>9598.81</v>
      </c>
      <c r="D19" s="2">
        <v>0.1462</v>
      </c>
      <c r="E19" s="2">
        <v>0.47932000000000002</v>
      </c>
      <c r="F19" s="2">
        <v>0.81032999999999999</v>
      </c>
      <c r="G19" s="2">
        <v>0.99951000000000001</v>
      </c>
      <c r="H19" s="2">
        <v>1</v>
      </c>
      <c r="I19" s="2">
        <v>0.995</v>
      </c>
      <c r="J19" s="2">
        <v>0.995</v>
      </c>
      <c r="K19" s="2">
        <v>8.3379999999999996E-2</v>
      </c>
      <c r="L19" s="2">
        <v>0.39334000000000002</v>
      </c>
      <c r="M19" s="2">
        <v>0.77183000000000002</v>
      </c>
    </row>
    <row r="20" spans="2:13" x14ac:dyDescent="0.3">
      <c r="B20" s="27">
        <v>14</v>
      </c>
      <c r="C20" s="2">
        <v>10275.6</v>
      </c>
      <c r="D20" s="2">
        <v>0.14324999999999999</v>
      </c>
      <c r="E20" s="2">
        <v>0.46383999999999997</v>
      </c>
      <c r="F20" s="2">
        <v>0.81194</v>
      </c>
      <c r="G20" s="2">
        <v>0.99956</v>
      </c>
      <c r="H20" s="2">
        <v>1</v>
      </c>
      <c r="I20" s="2">
        <v>0.995</v>
      </c>
      <c r="J20" s="2">
        <v>0.99478</v>
      </c>
      <c r="K20" s="2">
        <v>8.4610000000000005E-2</v>
      </c>
      <c r="L20" s="2">
        <v>0.39093</v>
      </c>
      <c r="M20" s="2">
        <v>0.77249999999999996</v>
      </c>
    </row>
    <row r="21" spans="2:13" x14ac:dyDescent="0.3">
      <c r="B21" s="27">
        <v>15</v>
      </c>
      <c r="C21" s="2">
        <v>10928.1</v>
      </c>
      <c r="D21" s="2">
        <v>0.14026</v>
      </c>
      <c r="E21" s="2">
        <v>0.44163000000000002</v>
      </c>
      <c r="F21" s="2">
        <v>0.81123000000000001</v>
      </c>
      <c r="G21" s="2">
        <v>0.99950000000000006</v>
      </c>
      <c r="H21" s="2">
        <v>1</v>
      </c>
      <c r="I21" s="2">
        <v>0.995</v>
      </c>
      <c r="J21" s="2">
        <v>0.995</v>
      </c>
      <c r="K21" s="2">
        <v>8.7940000000000004E-2</v>
      </c>
      <c r="L21" s="2">
        <v>0.38328000000000001</v>
      </c>
      <c r="M21" s="2">
        <v>0.77253000000000005</v>
      </c>
    </row>
    <row r="22" spans="2:13" x14ac:dyDescent="0.3">
      <c r="B22" s="27">
        <v>16</v>
      </c>
      <c r="C22" s="2">
        <v>11579.4</v>
      </c>
      <c r="D22" s="2">
        <v>0.13921</v>
      </c>
      <c r="E22" s="2">
        <v>0.43613000000000002</v>
      </c>
      <c r="F22" s="2">
        <v>0.81225000000000003</v>
      </c>
      <c r="G22" s="2">
        <v>0.99951999999999996</v>
      </c>
      <c r="H22" s="2">
        <v>1</v>
      </c>
      <c r="I22" s="2">
        <v>0.995</v>
      </c>
      <c r="J22" s="2">
        <v>0.995</v>
      </c>
      <c r="K22" s="2">
        <v>7.9969999999999999E-2</v>
      </c>
      <c r="L22" s="2">
        <v>0.36607000000000001</v>
      </c>
      <c r="M22" s="2">
        <v>0.77151000000000003</v>
      </c>
    </row>
    <row r="23" spans="2:13" x14ac:dyDescent="0.3">
      <c r="B23" s="27">
        <v>17</v>
      </c>
      <c r="C23" s="2">
        <v>12229.4</v>
      </c>
      <c r="D23" s="2">
        <v>0.13619999999999999</v>
      </c>
      <c r="E23" s="2">
        <v>0.42863000000000001</v>
      </c>
      <c r="F23" s="2">
        <v>0.81</v>
      </c>
      <c r="G23" s="2">
        <v>0.99955000000000005</v>
      </c>
      <c r="H23" s="2">
        <v>1</v>
      </c>
      <c r="I23" s="2">
        <v>0.995</v>
      </c>
      <c r="J23" s="2">
        <v>0.995</v>
      </c>
      <c r="K23" s="2">
        <v>7.7539999999999998E-2</v>
      </c>
      <c r="L23" s="2">
        <v>0.35752</v>
      </c>
      <c r="M23" s="2">
        <v>0.77142999999999995</v>
      </c>
    </row>
    <row r="24" spans="2:13" x14ac:dyDescent="0.3">
      <c r="B24" s="27">
        <v>18</v>
      </c>
      <c r="C24" s="2">
        <v>12881.8</v>
      </c>
      <c r="D24" s="2">
        <v>0.13442000000000001</v>
      </c>
      <c r="E24" s="2">
        <v>0.41569</v>
      </c>
      <c r="F24" s="2">
        <v>0.80800000000000005</v>
      </c>
      <c r="G24" s="2">
        <v>0.99951999999999996</v>
      </c>
      <c r="H24" s="2">
        <v>1</v>
      </c>
      <c r="I24" s="2">
        <v>0.995</v>
      </c>
      <c r="J24" s="2">
        <v>0.995</v>
      </c>
      <c r="K24" s="2">
        <v>7.6230000000000006E-2</v>
      </c>
      <c r="L24" s="2">
        <v>0.35145999999999999</v>
      </c>
      <c r="M24" s="2">
        <v>0.77059</v>
      </c>
    </row>
    <row r="25" spans="2:13" x14ac:dyDescent="0.3">
      <c r="B25" s="27">
        <v>19</v>
      </c>
      <c r="C25" s="2">
        <v>13528.7</v>
      </c>
      <c r="D25" s="2">
        <v>0.1323</v>
      </c>
      <c r="E25" s="2">
        <v>0.40475</v>
      </c>
      <c r="F25" s="2">
        <v>0.80642000000000003</v>
      </c>
      <c r="G25" s="2">
        <v>0.99953000000000003</v>
      </c>
      <c r="H25" s="2">
        <v>1</v>
      </c>
      <c r="I25" s="2">
        <v>0.995</v>
      </c>
      <c r="J25" s="2">
        <v>0.995</v>
      </c>
      <c r="K25" s="2">
        <v>7.3529999999999998E-2</v>
      </c>
      <c r="L25" s="2">
        <v>0.33929999999999999</v>
      </c>
      <c r="M25" s="2">
        <v>0.77095999999999998</v>
      </c>
    </row>
    <row r="26" spans="2:13" x14ac:dyDescent="0.3">
      <c r="B26" s="27">
        <v>20</v>
      </c>
      <c r="C26" s="2">
        <v>14175.6</v>
      </c>
      <c r="D26" s="2">
        <v>0.13078999999999999</v>
      </c>
      <c r="E26" s="2">
        <v>0.39692</v>
      </c>
      <c r="F26" s="2">
        <v>0.80942999999999998</v>
      </c>
      <c r="G26" s="2">
        <v>0.99961</v>
      </c>
      <c r="H26" s="2">
        <v>1</v>
      </c>
      <c r="I26" s="2">
        <v>0.995</v>
      </c>
      <c r="J26" s="2">
        <v>0.995</v>
      </c>
      <c r="K26" s="2">
        <v>6.9070000000000006E-2</v>
      </c>
      <c r="L26" s="2">
        <v>0.33452999999999999</v>
      </c>
      <c r="M26" s="2">
        <v>0.76949000000000001</v>
      </c>
    </row>
    <row r="27" spans="2:13" x14ac:dyDescent="0.3">
      <c r="B27" s="27">
        <v>21</v>
      </c>
      <c r="C27" s="2">
        <v>14818.7</v>
      </c>
      <c r="D27" s="2">
        <v>0.12948999999999999</v>
      </c>
      <c r="E27" s="2">
        <v>0.39534000000000002</v>
      </c>
      <c r="F27" s="2">
        <v>0.80761000000000005</v>
      </c>
      <c r="G27" s="2">
        <v>0.99956</v>
      </c>
      <c r="H27" s="2">
        <v>1</v>
      </c>
      <c r="I27" s="2">
        <v>0.995</v>
      </c>
      <c r="J27" s="2">
        <v>0.995</v>
      </c>
      <c r="K27" s="2">
        <v>7.4139999999999998E-2</v>
      </c>
      <c r="L27" s="2">
        <v>0.33177000000000001</v>
      </c>
      <c r="M27" s="2">
        <v>0.77003999999999995</v>
      </c>
    </row>
    <row r="28" spans="2:13" x14ac:dyDescent="0.3">
      <c r="B28" s="27">
        <v>22</v>
      </c>
      <c r="C28" s="2">
        <v>15468.5</v>
      </c>
      <c r="D28" s="2">
        <v>0.12858</v>
      </c>
      <c r="E28" s="2">
        <v>0.38244</v>
      </c>
      <c r="F28" s="2">
        <v>0.80784</v>
      </c>
      <c r="G28" s="2">
        <v>0.99951999999999996</v>
      </c>
      <c r="H28" s="2">
        <v>1</v>
      </c>
      <c r="I28" s="2">
        <v>0.995</v>
      </c>
      <c r="J28" s="2">
        <v>0.995</v>
      </c>
      <c r="K28" s="2">
        <v>7.0690000000000003E-2</v>
      </c>
      <c r="L28" s="2">
        <v>0.32268000000000002</v>
      </c>
      <c r="M28" s="2">
        <v>0.77029999999999998</v>
      </c>
    </row>
    <row r="29" spans="2:13" x14ac:dyDescent="0.3">
      <c r="B29" s="27">
        <v>23</v>
      </c>
      <c r="C29" s="2">
        <v>16115.2</v>
      </c>
      <c r="D29" s="2">
        <v>0.12601000000000001</v>
      </c>
      <c r="E29" s="2">
        <v>0.37002000000000002</v>
      </c>
      <c r="F29" s="2">
        <v>0.80832000000000004</v>
      </c>
      <c r="G29" s="2">
        <v>0.99961</v>
      </c>
      <c r="H29" s="2">
        <v>1</v>
      </c>
      <c r="I29" s="2">
        <v>0.995</v>
      </c>
      <c r="J29" s="2">
        <v>0.995</v>
      </c>
      <c r="K29" s="2">
        <v>7.0110000000000006E-2</v>
      </c>
      <c r="L29" s="2">
        <v>0.31824000000000002</v>
      </c>
      <c r="M29" s="2">
        <v>0.76985000000000003</v>
      </c>
    </row>
    <row r="30" spans="2:13" x14ac:dyDescent="0.3">
      <c r="B30" s="27">
        <v>24</v>
      </c>
      <c r="C30" s="2">
        <v>16760.099999999999</v>
      </c>
      <c r="D30" s="2">
        <v>0.12329</v>
      </c>
      <c r="E30" s="2">
        <v>0.36341000000000001</v>
      </c>
      <c r="F30" s="2">
        <v>0.8054</v>
      </c>
      <c r="G30" s="2">
        <v>0.99953999999999998</v>
      </c>
      <c r="H30" s="2">
        <v>1</v>
      </c>
      <c r="I30" s="2">
        <v>0.995</v>
      </c>
      <c r="J30" s="2">
        <v>0.995</v>
      </c>
      <c r="K30" s="2">
        <v>7.0279999999999995E-2</v>
      </c>
      <c r="L30" s="2">
        <v>0.31880999999999998</v>
      </c>
      <c r="M30" s="2">
        <v>0.77054999999999996</v>
      </c>
    </row>
    <row r="31" spans="2:13" x14ac:dyDescent="0.3">
      <c r="B31" s="27">
        <v>25</v>
      </c>
      <c r="C31" s="2">
        <v>17403.8</v>
      </c>
      <c r="D31" s="2">
        <v>0.12490999999999999</v>
      </c>
      <c r="E31" s="2">
        <v>0.36188999999999999</v>
      </c>
      <c r="F31" s="2">
        <v>0.80525999999999998</v>
      </c>
      <c r="G31" s="2">
        <v>0.99948999999999999</v>
      </c>
      <c r="H31" s="2">
        <v>1</v>
      </c>
      <c r="I31" s="2">
        <v>0.995</v>
      </c>
      <c r="J31" s="2">
        <v>0.995</v>
      </c>
      <c r="K31" s="2">
        <v>7.0599999999999996E-2</v>
      </c>
      <c r="L31" s="2">
        <v>0.30373</v>
      </c>
      <c r="M31" s="2">
        <v>0.76998</v>
      </c>
    </row>
    <row r="32" spans="2:13" x14ac:dyDescent="0.3">
      <c r="B32" s="27">
        <v>26</v>
      </c>
      <c r="C32" s="2">
        <v>18052.099999999999</v>
      </c>
      <c r="D32" s="2">
        <v>0.12193</v>
      </c>
      <c r="E32" s="2">
        <v>0.35397000000000001</v>
      </c>
      <c r="F32" s="2">
        <v>0.80847000000000002</v>
      </c>
      <c r="G32" s="2">
        <v>0.99958999999999998</v>
      </c>
      <c r="H32" s="2">
        <v>1</v>
      </c>
      <c r="I32" s="2">
        <v>0.995</v>
      </c>
      <c r="J32" s="2">
        <v>0.995</v>
      </c>
      <c r="K32" s="2">
        <v>7.0669999999999997E-2</v>
      </c>
      <c r="L32" s="2">
        <v>0.29530000000000001</v>
      </c>
      <c r="M32" s="2">
        <v>0.76985000000000003</v>
      </c>
    </row>
    <row r="33" spans="2:18" x14ac:dyDescent="0.3">
      <c r="B33" s="27">
        <v>27</v>
      </c>
      <c r="C33" s="2">
        <v>18697.900000000001</v>
      </c>
      <c r="D33" s="2">
        <v>0.12214999999999999</v>
      </c>
      <c r="E33" s="2">
        <v>0.35420000000000001</v>
      </c>
      <c r="F33" s="2">
        <v>0.80732999999999999</v>
      </c>
      <c r="G33" s="2">
        <v>0.99927999999999995</v>
      </c>
      <c r="H33" s="2">
        <v>1</v>
      </c>
      <c r="I33" s="2">
        <v>0.995</v>
      </c>
      <c r="J33" s="2">
        <v>0.995</v>
      </c>
      <c r="K33" s="2">
        <v>6.9080000000000003E-2</v>
      </c>
      <c r="L33" s="2">
        <v>0.2959</v>
      </c>
      <c r="M33" s="2">
        <v>0.77010000000000001</v>
      </c>
    </row>
    <row r="34" spans="2:18" x14ac:dyDescent="0.3">
      <c r="B34" s="27">
        <v>28</v>
      </c>
      <c r="C34" s="2">
        <v>19341.400000000001</v>
      </c>
      <c r="D34" s="2">
        <v>0.12024</v>
      </c>
      <c r="E34" s="2">
        <v>0.34350000000000003</v>
      </c>
      <c r="F34" s="2">
        <v>0.80601</v>
      </c>
      <c r="G34" s="2">
        <v>0.99953000000000003</v>
      </c>
      <c r="H34" s="2">
        <v>1</v>
      </c>
      <c r="I34" s="2">
        <v>0.995</v>
      </c>
      <c r="J34" s="2">
        <v>0.995</v>
      </c>
      <c r="K34" s="2">
        <v>7.1010000000000004E-2</v>
      </c>
      <c r="L34" s="2">
        <v>0.29060000000000002</v>
      </c>
      <c r="M34" s="2">
        <v>0.76939999999999997</v>
      </c>
    </row>
    <row r="35" spans="2:18" x14ac:dyDescent="0.3">
      <c r="B35" s="27">
        <v>29</v>
      </c>
      <c r="C35" s="2">
        <v>19995.099999999999</v>
      </c>
      <c r="D35" s="2">
        <v>0.12071</v>
      </c>
      <c r="E35" s="2">
        <v>0.33803</v>
      </c>
      <c r="F35" s="2">
        <v>0.80618000000000001</v>
      </c>
      <c r="G35" s="2">
        <v>0.99948999999999999</v>
      </c>
      <c r="H35" s="2">
        <v>1</v>
      </c>
      <c r="I35" s="2">
        <v>0.995</v>
      </c>
      <c r="J35" s="2">
        <v>0.995</v>
      </c>
      <c r="K35" s="2">
        <v>7.0169999999999996E-2</v>
      </c>
      <c r="L35" s="2">
        <v>0.28938000000000003</v>
      </c>
      <c r="M35" s="2">
        <v>0.76941000000000004</v>
      </c>
    </row>
    <row r="36" spans="2:18" x14ac:dyDescent="0.3">
      <c r="B36" s="27">
        <v>30</v>
      </c>
      <c r="C36" s="2">
        <v>20648.3</v>
      </c>
      <c r="D36" s="2">
        <v>0.11934</v>
      </c>
      <c r="E36" s="2">
        <v>0.33028000000000002</v>
      </c>
      <c r="F36" s="2">
        <v>0.80449000000000004</v>
      </c>
      <c r="G36" s="2">
        <v>0.99960000000000004</v>
      </c>
      <c r="H36" s="2">
        <v>1</v>
      </c>
      <c r="I36" s="2">
        <v>0.995</v>
      </c>
      <c r="J36" s="2">
        <v>0.995</v>
      </c>
      <c r="K36" s="2">
        <v>6.9459999999999994E-2</v>
      </c>
      <c r="L36" s="2">
        <v>0.28310999999999997</v>
      </c>
      <c r="M36" s="2">
        <v>0.76873999999999998</v>
      </c>
    </row>
    <row r="37" spans="2:18" ht="17.25" thickBot="1" x14ac:dyDescent="0.35">
      <c r="B37" s="27">
        <v>31</v>
      </c>
      <c r="C37" s="2">
        <v>21294.799999999999</v>
      </c>
      <c r="D37" s="2">
        <v>0.11655</v>
      </c>
      <c r="E37" s="2">
        <v>0.32558999999999999</v>
      </c>
      <c r="F37" s="2">
        <v>0.80489999999999995</v>
      </c>
      <c r="G37" s="2">
        <v>0.99958999999999998</v>
      </c>
      <c r="H37" s="2">
        <v>1</v>
      </c>
      <c r="I37" s="2">
        <v>0.995</v>
      </c>
      <c r="J37" s="2">
        <v>0.995</v>
      </c>
      <c r="K37" s="2">
        <v>6.6019999999999995E-2</v>
      </c>
      <c r="L37" s="2">
        <v>0.27966999999999997</v>
      </c>
      <c r="M37" s="2">
        <v>0.76865000000000006</v>
      </c>
    </row>
    <row r="38" spans="2:18" ht="17.25" x14ac:dyDescent="0.3">
      <c r="B38" s="27">
        <v>32</v>
      </c>
      <c r="C38" s="2">
        <v>21940.5</v>
      </c>
      <c r="D38" s="2">
        <v>0.1169</v>
      </c>
      <c r="E38" s="2">
        <v>0.32601000000000002</v>
      </c>
      <c r="F38" s="2">
        <v>0.80388999999999999</v>
      </c>
      <c r="G38" s="2">
        <v>0.99948999999999999</v>
      </c>
      <c r="H38" s="2">
        <v>1</v>
      </c>
      <c r="I38" s="2">
        <v>0.995</v>
      </c>
      <c r="J38" s="2">
        <v>0.995</v>
      </c>
      <c r="K38" s="2">
        <v>6.7169999999999994E-2</v>
      </c>
      <c r="L38" s="2">
        <v>0.27411999999999997</v>
      </c>
      <c r="M38" s="2">
        <v>0.76890999999999998</v>
      </c>
      <c r="O38" s="32">
        <v>1</v>
      </c>
      <c r="P38" s="33" t="s">
        <v>55</v>
      </c>
      <c r="Q38" s="33" t="s">
        <v>36</v>
      </c>
      <c r="R38" s="34" t="s">
        <v>56</v>
      </c>
    </row>
    <row r="39" spans="2:18" ht="17.25" x14ac:dyDescent="0.3">
      <c r="B39" s="27">
        <v>33</v>
      </c>
      <c r="C39" s="2">
        <v>22586</v>
      </c>
      <c r="D39" s="2">
        <v>0.11792999999999999</v>
      </c>
      <c r="E39" s="2">
        <v>0.32396000000000003</v>
      </c>
      <c r="F39" s="2">
        <v>0.80645999999999995</v>
      </c>
      <c r="G39" s="2">
        <v>0.99958999999999998</v>
      </c>
      <c r="H39" s="2">
        <v>1</v>
      </c>
      <c r="I39" s="2">
        <v>0.995</v>
      </c>
      <c r="J39" s="2">
        <v>0.995</v>
      </c>
      <c r="K39" s="2">
        <v>6.6860000000000003E-2</v>
      </c>
      <c r="L39" s="2">
        <v>0.26793</v>
      </c>
      <c r="M39" s="2">
        <v>0.76987000000000005</v>
      </c>
      <c r="O39" s="35">
        <v>2</v>
      </c>
      <c r="P39" s="36" t="s">
        <v>32</v>
      </c>
      <c r="Q39" s="36" t="s">
        <v>37</v>
      </c>
      <c r="R39" s="37" t="s">
        <v>38</v>
      </c>
    </row>
    <row r="40" spans="2:18" ht="17.25" x14ac:dyDescent="0.3">
      <c r="B40" s="27">
        <v>34</v>
      </c>
      <c r="C40" s="2">
        <v>23233.599999999999</v>
      </c>
      <c r="D40" s="2">
        <v>0.11316</v>
      </c>
      <c r="E40" s="2">
        <v>0.31241000000000002</v>
      </c>
      <c r="F40" s="2">
        <v>0.80593999999999999</v>
      </c>
      <c r="G40" s="2">
        <v>0.99953999999999998</v>
      </c>
      <c r="H40" s="2">
        <v>1</v>
      </c>
      <c r="I40" s="2">
        <v>0.995</v>
      </c>
      <c r="J40" s="2">
        <v>0.995</v>
      </c>
      <c r="K40" s="2">
        <v>6.3839999999999994E-2</v>
      </c>
      <c r="L40" s="2">
        <v>0.26302999999999999</v>
      </c>
      <c r="M40" s="2">
        <v>0.76876</v>
      </c>
      <c r="O40" s="35">
        <v>3</v>
      </c>
      <c r="P40" s="36" t="s">
        <v>33</v>
      </c>
      <c r="Q40" s="36" t="s">
        <v>41</v>
      </c>
      <c r="R40" s="37" t="s">
        <v>57</v>
      </c>
    </row>
    <row r="41" spans="2:18" ht="17.25" x14ac:dyDescent="0.3">
      <c r="B41" s="27">
        <v>35</v>
      </c>
      <c r="C41" s="2">
        <v>23880.799999999999</v>
      </c>
      <c r="D41" s="2">
        <v>0.11391999999999999</v>
      </c>
      <c r="E41" s="2">
        <v>0.31269000000000002</v>
      </c>
      <c r="F41" s="2">
        <v>0.80500000000000005</v>
      </c>
      <c r="G41" s="2">
        <v>0.99953999999999998</v>
      </c>
      <c r="H41" s="2">
        <v>1</v>
      </c>
      <c r="I41" s="2">
        <v>0.995</v>
      </c>
      <c r="J41" s="2">
        <v>0.995</v>
      </c>
      <c r="K41" s="2">
        <v>6.4759999999999998E-2</v>
      </c>
      <c r="L41" s="2">
        <v>0.26025999999999999</v>
      </c>
      <c r="M41" s="2">
        <v>0.76839999999999997</v>
      </c>
      <c r="O41" s="35">
        <v>4</v>
      </c>
      <c r="P41" s="36" t="s">
        <v>34</v>
      </c>
      <c r="Q41" s="36" t="s">
        <v>58</v>
      </c>
      <c r="R41" s="37" t="s">
        <v>39</v>
      </c>
    </row>
    <row r="42" spans="2:18" ht="17.25" x14ac:dyDescent="0.3">
      <c r="B42" s="27">
        <v>36</v>
      </c>
      <c r="C42" s="2">
        <v>24524.3</v>
      </c>
      <c r="D42" s="2">
        <v>0.11144999999999999</v>
      </c>
      <c r="E42" s="2">
        <v>0.30568000000000001</v>
      </c>
      <c r="F42" s="2">
        <v>0.80264999999999997</v>
      </c>
      <c r="G42" s="2">
        <v>0.99956999999999996</v>
      </c>
      <c r="H42" s="2">
        <v>1</v>
      </c>
      <c r="I42" s="2">
        <v>0.995</v>
      </c>
      <c r="J42" s="2">
        <v>0.995</v>
      </c>
      <c r="K42" s="2">
        <v>6.2210000000000001E-2</v>
      </c>
      <c r="L42" s="2">
        <v>0.25863999999999998</v>
      </c>
      <c r="M42" s="2">
        <v>0.76868999999999998</v>
      </c>
      <c r="O42" s="35">
        <v>5</v>
      </c>
      <c r="P42" s="36" t="s">
        <v>59</v>
      </c>
      <c r="Q42" s="36" t="s">
        <v>40</v>
      </c>
      <c r="R42" s="37" t="s">
        <v>44</v>
      </c>
    </row>
    <row r="43" spans="2:18" ht="17.25" x14ac:dyDescent="0.3">
      <c r="B43" s="27">
        <v>37</v>
      </c>
      <c r="C43" s="2">
        <v>25170.6</v>
      </c>
      <c r="D43" s="2">
        <v>0.11252</v>
      </c>
      <c r="E43" s="2">
        <v>0.30928</v>
      </c>
      <c r="F43" s="2">
        <v>0.80306</v>
      </c>
      <c r="G43" s="2">
        <v>0.99961</v>
      </c>
      <c r="H43" s="2">
        <v>1</v>
      </c>
      <c r="I43" s="2">
        <v>0.995</v>
      </c>
      <c r="J43" s="2">
        <v>0.995</v>
      </c>
      <c r="K43" s="2">
        <v>6.4479999999999996E-2</v>
      </c>
      <c r="L43" s="2">
        <v>0.25520999999999999</v>
      </c>
      <c r="M43" s="2">
        <v>0.76926000000000005</v>
      </c>
      <c r="O43" s="35">
        <v>6</v>
      </c>
      <c r="P43" s="36" t="s">
        <v>60</v>
      </c>
      <c r="Q43" s="36" t="s">
        <v>36</v>
      </c>
      <c r="R43" s="37" t="s">
        <v>61</v>
      </c>
    </row>
    <row r="44" spans="2:18" ht="17.25" x14ac:dyDescent="0.3">
      <c r="B44" s="27">
        <v>38</v>
      </c>
      <c r="C44" s="2">
        <v>25814.799999999999</v>
      </c>
      <c r="D44" s="2">
        <v>0.11053</v>
      </c>
      <c r="E44" s="2">
        <v>0.29610999999999998</v>
      </c>
      <c r="F44" s="2">
        <v>0.80679000000000001</v>
      </c>
      <c r="G44" s="2">
        <v>0.99956999999999996</v>
      </c>
      <c r="H44" s="2">
        <v>1</v>
      </c>
      <c r="I44" s="2">
        <v>0.995</v>
      </c>
      <c r="J44" s="2">
        <v>0.995</v>
      </c>
      <c r="K44" s="2">
        <v>6.2420000000000003E-2</v>
      </c>
      <c r="L44" s="2">
        <v>0.25144</v>
      </c>
      <c r="M44" s="2">
        <v>0.76846999999999999</v>
      </c>
      <c r="O44" s="35">
        <v>7</v>
      </c>
      <c r="P44" s="36" t="s">
        <v>62</v>
      </c>
      <c r="Q44" s="36" t="s">
        <v>37</v>
      </c>
      <c r="R44" s="37" t="s">
        <v>38</v>
      </c>
    </row>
    <row r="45" spans="2:18" ht="17.25" x14ac:dyDescent="0.3">
      <c r="B45" s="27">
        <v>39</v>
      </c>
      <c r="C45" s="2">
        <v>26460.9</v>
      </c>
      <c r="D45" s="2">
        <v>0.11173</v>
      </c>
      <c r="E45" s="2">
        <v>0.29887000000000002</v>
      </c>
      <c r="F45" s="2">
        <v>0.80518999999999996</v>
      </c>
      <c r="G45" s="2">
        <v>0.99960000000000004</v>
      </c>
      <c r="H45" s="2">
        <v>1</v>
      </c>
      <c r="I45" s="2">
        <v>0.995</v>
      </c>
      <c r="J45" s="2">
        <v>0.995</v>
      </c>
      <c r="K45" s="2">
        <v>6.6229999999999997E-2</v>
      </c>
      <c r="L45" s="2">
        <v>0.24968000000000001</v>
      </c>
      <c r="M45" s="2">
        <v>0.76795000000000002</v>
      </c>
      <c r="O45" s="35">
        <v>8</v>
      </c>
      <c r="P45" s="36" t="s">
        <v>35</v>
      </c>
      <c r="Q45" s="36" t="s">
        <v>41</v>
      </c>
      <c r="R45" s="37" t="s">
        <v>57</v>
      </c>
    </row>
    <row r="46" spans="2:18" ht="17.25" x14ac:dyDescent="0.3">
      <c r="B46" s="27">
        <v>40</v>
      </c>
      <c r="C46" s="2">
        <v>27106.9</v>
      </c>
      <c r="D46" s="2">
        <v>0.11097</v>
      </c>
      <c r="E46" s="2">
        <v>0.29499999999999998</v>
      </c>
      <c r="F46" s="2">
        <v>0.80642999999999998</v>
      </c>
      <c r="G46" s="2">
        <v>0.99960000000000004</v>
      </c>
      <c r="H46" s="2">
        <v>1</v>
      </c>
      <c r="I46" s="2">
        <v>0.995</v>
      </c>
      <c r="J46" s="2">
        <v>0.995</v>
      </c>
      <c r="K46" s="2">
        <v>6.1510000000000002E-2</v>
      </c>
      <c r="L46" s="2">
        <v>0.24143000000000001</v>
      </c>
      <c r="M46" s="2">
        <v>0.76842999999999995</v>
      </c>
      <c r="O46" s="35">
        <v>9</v>
      </c>
      <c r="P46" s="36" t="s">
        <v>63</v>
      </c>
      <c r="Q46" s="36" t="s">
        <v>42</v>
      </c>
      <c r="R46" s="37" t="s">
        <v>45</v>
      </c>
    </row>
    <row r="47" spans="2:18" ht="18" thickBot="1" x14ac:dyDescent="0.35">
      <c r="B47" s="27">
        <v>41</v>
      </c>
      <c r="C47" s="2">
        <v>27752.799999999999</v>
      </c>
      <c r="D47" s="2">
        <v>0.10914</v>
      </c>
      <c r="E47" s="2">
        <v>0.28772999999999999</v>
      </c>
      <c r="F47" s="2">
        <v>0.80649000000000004</v>
      </c>
      <c r="G47" s="2">
        <v>0.99955000000000005</v>
      </c>
      <c r="H47" s="2">
        <v>1</v>
      </c>
      <c r="I47" s="2">
        <v>0.995</v>
      </c>
      <c r="J47" s="2">
        <v>0.995</v>
      </c>
      <c r="K47" s="2">
        <v>6.2390000000000001E-2</v>
      </c>
      <c r="L47" s="2">
        <v>0.24335000000000001</v>
      </c>
      <c r="M47" s="2">
        <v>0.76827000000000001</v>
      </c>
      <c r="O47" s="38">
        <v>10</v>
      </c>
      <c r="P47" s="39" t="s">
        <v>64</v>
      </c>
      <c r="Q47" s="39" t="s">
        <v>43</v>
      </c>
      <c r="R47" s="40" t="s">
        <v>65</v>
      </c>
    </row>
    <row r="48" spans="2:18" x14ac:dyDescent="0.3">
      <c r="B48" s="27">
        <v>42</v>
      </c>
      <c r="C48" s="2">
        <v>28398.1</v>
      </c>
      <c r="D48" s="2">
        <v>0.10823000000000001</v>
      </c>
      <c r="E48" s="2">
        <v>0.28909000000000001</v>
      </c>
      <c r="F48" s="2">
        <v>0.80423</v>
      </c>
      <c r="G48" s="2">
        <v>0.99960000000000004</v>
      </c>
      <c r="H48" s="2">
        <v>1</v>
      </c>
      <c r="I48" s="2">
        <v>0.995</v>
      </c>
      <c r="J48" s="2">
        <v>0.995</v>
      </c>
      <c r="K48" s="2">
        <v>6.1490000000000003E-2</v>
      </c>
      <c r="L48" s="2">
        <v>0.23887</v>
      </c>
      <c r="M48" s="2">
        <v>0.76793</v>
      </c>
    </row>
    <row r="49" spans="2:13" x14ac:dyDescent="0.3">
      <c r="B49" s="27">
        <v>43</v>
      </c>
      <c r="C49" s="2">
        <v>29042.5</v>
      </c>
      <c r="D49" s="2">
        <v>0.10856</v>
      </c>
      <c r="E49" s="2">
        <v>0.28520000000000001</v>
      </c>
      <c r="F49" s="2">
        <v>0.80530000000000002</v>
      </c>
      <c r="G49" s="2">
        <v>0.99956</v>
      </c>
      <c r="H49" s="2">
        <v>1</v>
      </c>
      <c r="I49" s="2">
        <v>0.995</v>
      </c>
      <c r="J49" s="2">
        <v>0.995</v>
      </c>
      <c r="K49" s="2">
        <v>6.1339999999999999E-2</v>
      </c>
      <c r="L49" s="2">
        <v>0.23898</v>
      </c>
      <c r="M49" s="2">
        <v>0.76836000000000004</v>
      </c>
    </row>
    <row r="50" spans="2:13" x14ac:dyDescent="0.3">
      <c r="B50" s="27">
        <v>44</v>
      </c>
      <c r="C50" s="2">
        <v>29688.3</v>
      </c>
      <c r="D50" s="2">
        <v>0.1056</v>
      </c>
      <c r="E50" s="2">
        <v>0.27572999999999998</v>
      </c>
      <c r="F50" s="2">
        <v>0.80191999999999997</v>
      </c>
      <c r="G50" s="2">
        <v>0.99956</v>
      </c>
      <c r="H50" s="2">
        <v>1</v>
      </c>
      <c r="I50" s="2">
        <v>0.995</v>
      </c>
      <c r="J50" s="2">
        <v>0.995</v>
      </c>
      <c r="K50" s="2">
        <v>6.1789999999999998E-2</v>
      </c>
      <c r="L50" s="2">
        <v>0.23255000000000001</v>
      </c>
      <c r="M50" s="2">
        <v>0.76922000000000001</v>
      </c>
    </row>
    <row r="51" spans="2:13" x14ac:dyDescent="0.3">
      <c r="B51" s="27">
        <v>45</v>
      </c>
      <c r="C51" s="2">
        <v>30334.3</v>
      </c>
      <c r="D51" s="2">
        <v>0.10636</v>
      </c>
      <c r="E51" s="2">
        <v>0.27579999999999999</v>
      </c>
      <c r="F51" s="2">
        <v>0.80489999999999995</v>
      </c>
      <c r="G51" s="2">
        <v>0.99936000000000003</v>
      </c>
      <c r="H51" s="2">
        <v>1</v>
      </c>
      <c r="I51" s="2">
        <v>0.995</v>
      </c>
      <c r="J51" s="2">
        <v>0.995</v>
      </c>
      <c r="K51" s="2">
        <v>6.2019999999999999E-2</v>
      </c>
      <c r="L51" s="2">
        <v>0.23053999999999999</v>
      </c>
      <c r="M51" s="2">
        <v>0.76809000000000005</v>
      </c>
    </row>
    <row r="52" spans="2:13" x14ac:dyDescent="0.3">
      <c r="B52" s="27">
        <v>46</v>
      </c>
      <c r="C52" s="2">
        <v>30980</v>
      </c>
      <c r="D52" s="2">
        <v>0.10605000000000001</v>
      </c>
      <c r="E52" s="2">
        <v>0.28008</v>
      </c>
      <c r="F52" s="2">
        <v>0.80423999999999995</v>
      </c>
      <c r="G52" s="2">
        <v>0.99956999999999996</v>
      </c>
      <c r="H52" s="2">
        <v>1</v>
      </c>
      <c r="I52" s="2">
        <v>0.995</v>
      </c>
      <c r="J52" s="2">
        <v>0.995</v>
      </c>
      <c r="K52" s="2">
        <v>6.1449999999999998E-2</v>
      </c>
      <c r="L52" s="2">
        <v>0.22603999999999999</v>
      </c>
      <c r="M52" s="2">
        <v>0.76878000000000002</v>
      </c>
    </row>
    <row r="53" spans="2:13" x14ac:dyDescent="0.3">
      <c r="B53" s="27">
        <v>47</v>
      </c>
      <c r="C53" s="2">
        <v>31623.3</v>
      </c>
      <c r="D53" s="2">
        <v>0.1048</v>
      </c>
      <c r="E53" s="2">
        <v>0.27134999999999998</v>
      </c>
      <c r="F53" s="2">
        <v>0.80340999999999996</v>
      </c>
      <c r="G53" s="2">
        <v>0.99958000000000002</v>
      </c>
      <c r="H53" s="2">
        <v>1</v>
      </c>
      <c r="I53" s="2">
        <v>0.995</v>
      </c>
      <c r="J53" s="2">
        <v>0.995</v>
      </c>
      <c r="K53" s="2">
        <v>5.9839999999999997E-2</v>
      </c>
      <c r="L53" s="2">
        <v>0.22667000000000001</v>
      </c>
      <c r="M53" s="2">
        <v>0.76868000000000003</v>
      </c>
    </row>
    <row r="54" spans="2:13" x14ac:dyDescent="0.3">
      <c r="B54" s="27">
        <v>48</v>
      </c>
      <c r="C54" s="2">
        <v>32268.1</v>
      </c>
      <c r="D54" s="2">
        <v>0.10546</v>
      </c>
      <c r="E54" s="2">
        <v>0.27134000000000003</v>
      </c>
      <c r="F54" s="2">
        <v>0.80383000000000004</v>
      </c>
      <c r="G54" s="2">
        <v>0.99960000000000004</v>
      </c>
      <c r="H54" s="2">
        <v>1</v>
      </c>
      <c r="I54" s="2">
        <v>0.995</v>
      </c>
      <c r="J54" s="2">
        <v>0.995</v>
      </c>
      <c r="K54" s="2">
        <v>6.0179999999999997E-2</v>
      </c>
      <c r="L54" s="2">
        <v>0.22420999999999999</v>
      </c>
      <c r="M54" s="2">
        <v>0.76929999999999998</v>
      </c>
    </row>
    <row r="55" spans="2:13" x14ac:dyDescent="0.3">
      <c r="B55" s="27">
        <v>49</v>
      </c>
      <c r="C55" s="2">
        <v>32915</v>
      </c>
      <c r="D55" s="2">
        <v>0.10364</v>
      </c>
      <c r="E55" s="2">
        <v>0.26884999999999998</v>
      </c>
      <c r="F55" s="2">
        <v>0.80383000000000004</v>
      </c>
      <c r="G55" s="2">
        <v>0.99958999999999998</v>
      </c>
      <c r="H55" s="2">
        <v>1</v>
      </c>
      <c r="I55" s="2">
        <v>0.995</v>
      </c>
      <c r="J55" s="2">
        <v>0.995</v>
      </c>
      <c r="K55" s="2">
        <v>5.7970000000000001E-2</v>
      </c>
      <c r="L55" s="2">
        <v>0.21990999999999999</v>
      </c>
      <c r="M55" s="2">
        <v>0.76861000000000002</v>
      </c>
    </row>
    <row r="56" spans="2:13" x14ac:dyDescent="0.3">
      <c r="B56" s="27">
        <v>50</v>
      </c>
      <c r="C56" s="2">
        <v>33561</v>
      </c>
      <c r="D56" s="2">
        <v>0.10216</v>
      </c>
      <c r="E56" s="2">
        <v>0.26051999999999997</v>
      </c>
      <c r="F56" s="2">
        <v>0.80125999999999997</v>
      </c>
      <c r="G56" s="2">
        <v>0.99956999999999996</v>
      </c>
      <c r="H56" s="2">
        <v>1</v>
      </c>
      <c r="I56" s="2">
        <v>0.995</v>
      </c>
      <c r="J56" s="2">
        <v>0.995</v>
      </c>
      <c r="K56" s="2">
        <v>6.053E-2</v>
      </c>
      <c r="L56" s="2">
        <v>0.21895999999999999</v>
      </c>
      <c r="M56" s="2">
        <v>0.76871999999999996</v>
      </c>
    </row>
    <row r="57" spans="2:13" x14ac:dyDescent="0.3">
      <c r="B57" s="27">
        <v>51</v>
      </c>
      <c r="C57" s="2">
        <v>34207.5</v>
      </c>
      <c r="D57" s="2">
        <v>0.10249999999999999</v>
      </c>
      <c r="E57" s="2">
        <v>0.25968999999999998</v>
      </c>
      <c r="F57" s="2">
        <v>0.80225999999999997</v>
      </c>
      <c r="G57" s="2">
        <v>0.99948000000000004</v>
      </c>
      <c r="H57" s="2">
        <v>1</v>
      </c>
      <c r="I57" s="2">
        <v>0.995</v>
      </c>
      <c r="J57" s="2">
        <v>0.995</v>
      </c>
      <c r="K57" s="2">
        <v>5.9540000000000003E-2</v>
      </c>
      <c r="L57" s="2">
        <v>0.21672</v>
      </c>
      <c r="M57" s="2">
        <v>0.76898</v>
      </c>
    </row>
    <row r="58" spans="2:13" x14ac:dyDescent="0.3">
      <c r="B58" s="27">
        <v>52</v>
      </c>
      <c r="C58" s="2">
        <v>34852</v>
      </c>
      <c r="D58" s="2">
        <v>0.10256</v>
      </c>
      <c r="E58" s="2">
        <v>0.25813999999999998</v>
      </c>
      <c r="F58" s="2">
        <v>0.80289999999999995</v>
      </c>
      <c r="G58" s="2">
        <v>0.99960000000000004</v>
      </c>
      <c r="H58" s="2">
        <v>1</v>
      </c>
      <c r="I58" s="2">
        <v>0.995</v>
      </c>
      <c r="J58" s="2">
        <v>0.995</v>
      </c>
      <c r="K58" s="2">
        <v>5.7689999999999998E-2</v>
      </c>
      <c r="L58" s="2">
        <v>0.21184</v>
      </c>
      <c r="M58" s="2">
        <v>0.76907999999999999</v>
      </c>
    </row>
    <row r="59" spans="2:13" x14ac:dyDescent="0.3">
      <c r="B59" s="27">
        <v>53</v>
      </c>
      <c r="C59" s="2">
        <v>35501.199999999997</v>
      </c>
      <c r="D59" s="2">
        <v>0.10166</v>
      </c>
      <c r="E59" s="2">
        <v>0.25785000000000002</v>
      </c>
      <c r="F59" s="2">
        <v>0.80317000000000005</v>
      </c>
      <c r="G59" s="2">
        <v>0.99951999999999996</v>
      </c>
      <c r="H59" s="2">
        <v>1</v>
      </c>
      <c r="I59" s="2">
        <v>0.995</v>
      </c>
      <c r="J59" s="2">
        <v>0.995</v>
      </c>
      <c r="K59" s="2">
        <v>5.9180000000000003E-2</v>
      </c>
      <c r="L59" s="2">
        <v>0.21512000000000001</v>
      </c>
      <c r="M59" s="2">
        <v>0.76917000000000002</v>
      </c>
    </row>
    <row r="60" spans="2:13" x14ac:dyDescent="0.3">
      <c r="B60" s="27">
        <v>54</v>
      </c>
      <c r="C60" s="2">
        <v>36146.300000000003</v>
      </c>
      <c r="D60" s="2">
        <v>0.10013</v>
      </c>
      <c r="E60" s="2">
        <v>0.25603999999999999</v>
      </c>
      <c r="F60" s="2">
        <v>0.80298000000000003</v>
      </c>
      <c r="G60" s="2">
        <v>0.99960000000000004</v>
      </c>
      <c r="H60" s="2">
        <v>1</v>
      </c>
      <c r="I60" s="2">
        <v>0.995</v>
      </c>
      <c r="J60" s="2">
        <v>0.995</v>
      </c>
      <c r="K60" s="2">
        <v>5.9729999999999998E-2</v>
      </c>
      <c r="L60" s="2">
        <v>0.20876</v>
      </c>
      <c r="M60" s="2">
        <v>0.76898</v>
      </c>
    </row>
    <row r="61" spans="2:13" x14ac:dyDescent="0.3">
      <c r="B61" s="27">
        <v>55</v>
      </c>
      <c r="C61" s="2">
        <v>36791.300000000003</v>
      </c>
      <c r="D61" s="2">
        <v>0.10125000000000001</v>
      </c>
      <c r="E61" s="2">
        <v>0.26012999999999997</v>
      </c>
      <c r="F61" s="2">
        <v>0.80195000000000005</v>
      </c>
      <c r="G61" s="2">
        <v>0.99953999999999998</v>
      </c>
      <c r="H61" s="2">
        <v>1</v>
      </c>
      <c r="I61" s="2">
        <v>0.995</v>
      </c>
      <c r="J61" s="2">
        <v>0.995</v>
      </c>
      <c r="K61" s="2">
        <v>6.0010000000000001E-2</v>
      </c>
      <c r="L61" s="2">
        <v>0.20893</v>
      </c>
      <c r="M61" s="2">
        <v>0.76876</v>
      </c>
    </row>
    <row r="62" spans="2:13" x14ac:dyDescent="0.3">
      <c r="B62" s="27">
        <v>56</v>
      </c>
      <c r="C62" s="2">
        <v>37439.9</v>
      </c>
      <c r="D62" s="2">
        <v>0.10105</v>
      </c>
      <c r="E62" s="2">
        <v>0.25590000000000002</v>
      </c>
      <c r="F62" s="2">
        <v>0.80206</v>
      </c>
      <c r="G62" s="2">
        <v>0.99956</v>
      </c>
      <c r="H62" s="2">
        <v>1</v>
      </c>
      <c r="I62" s="2">
        <v>0.995</v>
      </c>
      <c r="J62" s="2">
        <v>0.995</v>
      </c>
      <c r="K62" s="2">
        <v>6.012E-2</v>
      </c>
      <c r="L62" s="2">
        <v>0.20785000000000001</v>
      </c>
      <c r="M62" s="2">
        <v>0.76780999999999999</v>
      </c>
    </row>
    <row r="63" spans="2:13" x14ac:dyDescent="0.3">
      <c r="B63" s="27">
        <v>57</v>
      </c>
      <c r="C63" s="2">
        <v>38085.699999999997</v>
      </c>
      <c r="D63" s="2">
        <v>0.10083</v>
      </c>
      <c r="E63" s="2">
        <v>0.24923000000000001</v>
      </c>
      <c r="F63" s="2">
        <v>0.80301999999999996</v>
      </c>
      <c r="G63" s="2">
        <v>0.99948999999999999</v>
      </c>
      <c r="H63" s="2">
        <v>1</v>
      </c>
      <c r="I63" s="2">
        <v>0.995</v>
      </c>
      <c r="J63" s="2">
        <v>0.995</v>
      </c>
      <c r="K63" s="2">
        <v>5.8639999999999998E-2</v>
      </c>
      <c r="L63" s="2">
        <v>0.20632</v>
      </c>
      <c r="M63" s="2">
        <v>0.76780999999999999</v>
      </c>
    </row>
    <row r="64" spans="2:13" x14ac:dyDescent="0.3">
      <c r="B64" s="27">
        <v>58</v>
      </c>
      <c r="C64" s="2">
        <v>38732.400000000001</v>
      </c>
      <c r="D64" s="2">
        <v>9.7199999999999995E-2</v>
      </c>
      <c r="E64" s="2">
        <v>0.24490999999999999</v>
      </c>
      <c r="F64" s="2">
        <v>0.80252000000000001</v>
      </c>
      <c r="G64" s="2">
        <v>0.99953000000000003</v>
      </c>
      <c r="H64" s="2">
        <v>1</v>
      </c>
      <c r="I64" s="2">
        <v>0.995</v>
      </c>
      <c r="J64" s="2">
        <v>0.995</v>
      </c>
      <c r="K64" s="2">
        <v>5.7419999999999999E-2</v>
      </c>
      <c r="L64" s="2">
        <v>0.20333999999999999</v>
      </c>
      <c r="M64" s="2">
        <v>0.76676</v>
      </c>
    </row>
    <row r="65" spans="2:13" x14ac:dyDescent="0.3">
      <c r="B65" s="27">
        <v>59</v>
      </c>
      <c r="C65" s="2">
        <v>39375.1</v>
      </c>
      <c r="D65" s="2">
        <v>9.9390000000000006E-2</v>
      </c>
      <c r="E65" s="2">
        <v>0.24859999999999999</v>
      </c>
      <c r="F65" s="2">
        <v>0.80279999999999996</v>
      </c>
      <c r="G65" s="2">
        <v>0.99958999999999998</v>
      </c>
      <c r="H65" s="2">
        <v>1</v>
      </c>
      <c r="I65" s="2">
        <v>0.995</v>
      </c>
      <c r="J65" s="2">
        <v>0.995</v>
      </c>
      <c r="K65" s="2">
        <v>5.6309999999999999E-2</v>
      </c>
      <c r="L65" s="2">
        <v>0.20469000000000001</v>
      </c>
      <c r="M65" s="2">
        <v>0.76700000000000002</v>
      </c>
    </row>
    <row r="66" spans="2:13" x14ac:dyDescent="0.3">
      <c r="B66" s="27">
        <v>60</v>
      </c>
      <c r="C66" s="2">
        <v>40020.1</v>
      </c>
      <c r="D66" s="2">
        <v>9.6990000000000007E-2</v>
      </c>
      <c r="E66" s="2">
        <v>0.24204999999999999</v>
      </c>
      <c r="F66" s="2">
        <v>0.80105999999999999</v>
      </c>
      <c r="G66" s="2">
        <v>0.99960000000000004</v>
      </c>
      <c r="H66" s="2">
        <v>1</v>
      </c>
      <c r="I66" s="2">
        <v>0.995</v>
      </c>
      <c r="J66" s="2">
        <v>0.995</v>
      </c>
      <c r="K66" s="2">
        <v>5.772E-2</v>
      </c>
      <c r="L66" s="2">
        <v>0.20311000000000001</v>
      </c>
      <c r="M66" s="2">
        <v>0.76688999999999996</v>
      </c>
    </row>
    <row r="67" spans="2:13" x14ac:dyDescent="0.3">
      <c r="B67" s="27">
        <v>61</v>
      </c>
      <c r="C67" s="2">
        <v>40665.9</v>
      </c>
      <c r="D67" s="2">
        <v>9.8000000000000004E-2</v>
      </c>
      <c r="E67" s="2">
        <v>0.245</v>
      </c>
      <c r="F67" s="2">
        <v>0.80220000000000002</v>
      </c>
      <c r="G67" s="2">
        <v>0.99953999999999998</v>
      </c>
      <c r="H67" s="2">
        <v>1</v>
      </c>
      <c r="I67" s="2">
        <v>0.995</v>
      </c>
      <c r="J67" s="2">
        <v>0.995</v>
      </c>
      <c r="K67" s="2">
        <v>5.7279999999999998E-2</v>
      </c>
      <c r="L67" s="2">
        <v>0.20116999999999999</v>
      </c>
      <c r="M67" s="2">
        <v>0.76707000000000003</v>
      </c>
    </row>
    <row r="68" spans="2:13" x14ac:dyDescent="0.3">
      <c r="B68" s="27">
        <v>62</v>
      </c>
      <c r="C68" s="2">
        <v>41312.9</v>
      </c>
      <c r="D68" s="2">
        <v>9.5930000000000001E-2</v>
      </c>
      <c r="E68" s="2">
        <v>0.2404</v>
      </c>
      <c r="F68" s="2">
        <v>0.80545999999999995</v>
      </c>
      <c r="G68" s="2">
        <v>0.99961</v>
      </c>
      <c r="H68" s="2">
        <v>1</v>
      </c>
      <c r="I68" s="2">
        <v>0.995</v>
      </c>
      <c r="J68" s="2">
        <v>0.995</v>
      </c>
      <c r="K68" s="2">
        <v>5.731E-2</v>
      </c>
      <c r="L68" s="2">
        <v>0.20144000000000001</v>
      </c>
      <c r="M68" s="2">
        <v>0.76749999999999996</v>
      </c>
    </row>
    <row r="69" spans="2:13" x14ac:dyDescent="0.3">
      <c r="B69" s="27">
        <v>63</v>
      </c>
      <c r="C69" s="2">
        <v>41957.8</v>
      </c>
      <c r="D69" s="2">
        <v>9.7540000000000002E-2</v>
      </c>
      <c r="E69" s="2">
        <v>0.2427</v>
      </c>
      <c r="F69" s="2">
        <v>0.80295000000000005</v>
      </c>
      <c r="G69" s="2">
        <v>0.99960000000000004</v>
      </c>
      <c r="H69" s="2">
        <v>1</v>
      </c>
      <c r="I69" s="2">
        <v>0.995</v>
      </c>
      <c r="J69" s="2">
        <v>0.995</v>
      </c>
      <c r="K69" s="2">
        <v>5.5300000000000002E-2</v>
      </c>
      <c r="L69" s="2">
        <v>0.19642000000000001</v>
      </c>
      <c r="M69" s="2">
        <v>0.76683000000000001</v>
      </c>
    </row>
    <row r="70" spans="2:13" x14ac:dyDescent="0.3">
      <c r="B70" s="27">
        <v>64</v>
      </c>
      <c r="C70" s="2">
        <v>42603.199999999997</v>
      </c>
      <c r="D70" s="2">
        <v>9.5920000000000005E-2</v>
      </c>
      <c r="E70" s="2">
        <v>0.24010000000000001</v>
      </c>
      <c r="F70" s="2">
        <v>0.80076999999999998</v>
      </c>
      <c r="G70" s="2">
        <v>0.99955000000000005</v>
      </c>
      <c r="H70" s="2">
        <v>1</v>
      </c>
      <c r="I70" s="2">
        <v>0.995</v>
      </c>
      <c r="J70" s="2">
        <v>0.995</v>
      </c>
      <c r="K70" s="2">
        <v>5.6869999999999997E-2</v>
      </c>
      <c r="L70" s="2">
        <v>0.19882</v>
      </c>
      <c r="M70" s="2">
        <v>0.76632</v>
      </c>
    </row>
    <row r="71" spans="2:13" x14ac:dyDescent="0.3">
      <c r="B71" s="27">
        <v>65</v>
      </c>
      <c r="C71" s="2">
        <v>43251.7</v>
      </c>
      <c r="D71" s="2">
        <v>9.6149999999999999E-2</v>
      </c>
      <c r="E71" s="2">
        <v>0.24074000000000001</v>
      </c>
      <c r="F71" s="2">
        <v>0.80389999999999995</v>
      </c>
      <c r="G71" s="2">
        <v>0.99953000000000003</v>
      </c>
      <c r="H71" s="2">
        <v>1</v>
      </c>
      <c r="I71" s="2">
        <v>0.995</v>
      </c>
      <c r="J71" s="2">
        <v>0.995</v>
      </c>
      <c r="K71" s="2">
        <v>5.704E-2</v>
      </c>
      <c r="L71" s="2">
        <v>0.19625999999999999</v>
      </c>
      <c r="M71" s="2">
        <v>0.76651999999999998</v>
      </c>
    </row>
    <row r="72" spans="2:13" x14ac:dyDescent="0.3">
      <c r="B72" s="27">
        <v>66</v>
      </c>
      <c r="C72" s="2">
        <v>43899.9</v>
      </c>
      <c r="D72" s="2">
        <v>9.5070000000000002E-2</v>
      </c>
      <c r="E72" s="2">
        <v>0.23266000000000001</v>
      </c>
      <c r="F72" s="2">
        <v>0.80093999999999999</v>
      </c>
      <c r="G72" s="2">
        <v>0.99953999999999998</v>
      </c>
      <c r="H72" s="2">
        <v>1</v>
      </c>
      <c r="I72" s="2">
        <v>0.995</v>
      </c>
      <c r="J72" s="2">
        <v>0.995</v>
      </c>
      <c r="K72" s="2">
        <v>5.4940000000000003E-2</v>
      </c>
      <c r="L72" s="2">
        <v>0.19556999999999999</v>
      </c>
      <c r="M72" s="2">
        <v>0.76668000000000003</v>
      </c>
    </row>
    <row r="73" spans="2:13" x14ac:dyDescent="0.3">
      <c r="B73" s="27">
        <v>67</v>
      </c>
      <c r="C73" s="2">
        <v>44545.2</v>
      </c>
      <c r="D73" s="2">
        <v>9.4939999999999997E-2</v>
      </c>
      <c r="E73" s="2">
        <v>0.23527999999999999</v>
      </c>
      <c r="F73" s="2">
        <v>0.79988999999999999</v>
      </c>
      <c r="G73" s="2">
        <v>0.99955000000000005</v>
      </c>
      <c r="H73" s="2">
        <v>1</v>
      </c>
      <c r="I73" s="2">
        <v>0.995</v>
      </c>
      <c r="J73" s="2">
        <v>0.995</v>
      </c>
      <c r="K73" s="2">
        <v>5.57E-2</v>
      </c>
      <c r="L73" s="2">
        <v>0.19349</v>
      </c>
      <c r="M73" s="2">
        <v>0.76705000000000001</v>
      </c>
    </row>
    <row r="74" spans="2:13" x14ac:dyDescent="0.3">
      <c r="B74" s="27">
        <v>68</v>
      </c>
      <c r="C74" s="2">
        <v>45186.6</v>
      </c>
      <c r="D74" s="2">
        <v>9.3850000000000003E-2</v>
      </c>
      <c r="E74" s="2">
        <v>0.23108000000000001</v>
      </c>
      <c r="F74" s="2">
        <v>0.79984999999999995</v>
      </c>
      <c r="G74" s="2">
        <v>0.99950000000000006</v>
      </c>
      <c r="H74" s="2">
        <v>1</v>
      </c>
      <c r="I74" s="2">
        <v>0.995</v>
      </c>
      <c r="J74" s="2">
        <v>0.995</v>
      </c>
      <c r="K74" s="2">
        <v>5.5570000000000001E-2</v>
      </c>
      <c r="L74" s="2">
        <v>0.18887999999999999</v>
      </c>
      <c r="M74" s="2">
        <v>0.76710999999999996</v>
      </c>
    </row>
    <row r="75" spans="2:13" x14ac:dyDescent="0.3">
      <c r="B75" s="27">
        <v>69</v>
      </c>
      <c r="C75" s="2">
        <v>45830.9</v>
      </c>
      <c r="D75" s="2">
        <v>9.2939999999999995E-2</v>
      </c>
      <c r="E75" s="2">
        <v>0.23183999999999999</v>
      </c>
      <c r="F75" s="2">
        <v>0.80225000000000002</v>
      </c>
      <c r="G75" s="2">
        <v>0.99953000000000003</v>
      </c>
      <c r="H75" s="2">
        <v>1</v>
      </c>
      <c r="I75" s="2">
        <v>0.995</v>
      </c>
      <c r="J75" s="2">
        <v>0.995</v>
      </c>
      <c r="K75" s="2">
        <v>5.5419999999999997E-2</v>
      </c>
      <c r="L75" s="2">
        <v>0.1888</v>
      </c>
      <c r="M75" s="2">
        <v>0.76776</v>
      </c>
    </row>
    <row r="76" spans="2:13" x14ac:dyDescent="0.3">
      <c r="B76" s="27">
        <v>70</v>
      </c>
      <c r="C76" s="2">
        <v>46479.3</v>
      </c>
      <c r="D76" s="2">
        <v>9.2799999999999994E-2</v>
      </c>
      <c r="E76" s="2">
        <v>0.22864999999999999</v>
      </c>
      <c r="F76" s="2">
        <v>0.80010999999999999</v>
      </c>
      <c r="G76" s="2">
        <v>0.99953999999999998</v>
      </c>
      <c r="H76" s="2">
        <v>1</v>
      </c>
      <c r="I76" s="2">
        <v>0.995</v>
      </c>
      <c r="J76" s="2">
        <v>0.995</v>
      </c>
      <c r="K76" s="2">
        <v>5.6259999999999998E-2</v>
      </c>
      <c r="L76" s="2">
        <v>0.18526000000000001</v>
      </c>
      <c r="M76" s="2">
        <v>0.76780999999999999</v>
      </c>
    </row>
    <row r="77" spans="2:13" x14ac:dyDescent="0.3">
      <c r="B77" s="27">
        <v>71</v>
      </c>
      <c r="C77" s="2">
        <v>47124.7</v>
      </c>
      <c r="D77" s="2">
        <v>9.1869999999999993E-2</v>
      </c>
      <c r="E77" s="2">
        <v>0.22624</v>
      </c>
      <c r="F77" s="2">
        <v>0.80103000000000002</v>
      </c>
      <c r="G77" s="2">
        <v>0.99958999999999998</v>
      </c>
      <c r="H77" s="2">
        <v>1</v>
      </c>
      <c r="I77" s="2">
        <v>0.995</v>
      </c>
      <c r="J77" s="2">
        <v>0.995</v>
      </c>
      <c r="K77" s="2">
        <v>5.552E-2</v>
      </c>
      <c r="L77" s="2">
        <v>0.18512000000000001</v>
      </c>
      <c r="M77" s="2">
        <v>0.76781999999999995</v>
      </c>
    </row>
    <row r="78" spans="2:13" x14ac:dyDescent="0.3">
      <c r="B78" s="27">
        <v>72</v>
      </c>
      <c r="C78" s="2">
        <v>47774.1</v>
      </c>
      <c r="D78" s="2">
        <v>9.3100000000000002E-2</v>
      </c>
      <c r="E78" s="2">
        <v>0.22550999999999999</v>
      </c>
      <c r="F78" s="2">
        <v>0.80210000000000004</v>
      </c>
      <c r="G78" s="2">
        <v>0.99958000000000002</v>
      </c>
      <c r="H78" s="2">
        <v>1</v>
      </c>
      <c r="I78" s="2">
        <v>0.995</v>
      </c>
      <c r="J78" s="2">
        <v>0.995</v>
      </c>
      <c r="K78" s="2">
        <v>5.7090000000000002E-2</v>
      </c>
      <c r="L78" s="2">
        <v>0.18683</v>
      </c>
      <c r="M78" s="2">
        <v>0.76771999999999996</v>
      </c>
    </row>
    <row r="79" spans="2:13" x14ac:dyDescent="0.3">
      <c r="B79" s="27">
        <v>73</v>
      </c>
      <c r="C79" s="2">
        <v>48420.4</v>
      </c>
      <c r="D79" s="2">
        <v>9.2289999999999997E-2</v>
      </c>
      <c r="E79" s="2">
        <v>0.22287000000000001</v>
      </c>
      <c r="F79" s="2">
        <v>0.80047999999999997</v>
      </c>
      <c r="G79" s="2">
        <v>0.99951999999999996</v>
      </c>
      <c r="H79" s="2">
        <v>1</v>
      </c>
      <c r="I79" s="2">
        <v>0.995</v>
      </c>
      <c r="J79" s="2">
        <v>0.995</v>
      </c>
      <c r="K79" s="2">
        <v>5.4330000000000003E-2</v>
      </c>
      <c r="L79" s="2">
        <v>0.18360000000000001</v>
      </c>
      <c r="M79" s="2">
        <v>0.76741999999999999</v>
      </c>
    </row>
    <row r="80" spans="2:13" x14ac:dyDescent="0.3">
      <c r="B80" s="27">
        <v>74</v>
      </c>
      <c r="C80" s="2">
        <v>49066.9</v>
      </c>
      <c r="D80" s="2">
        <v>9.1679999999999998E-2</v>
      </c>
      <c r="E80" s="2">
        <v>0.22531999999999999</v>
      </c>
      <c r="F80" s="2">
        <v>0.80332999999999999</v>
      </c>
      <c r="G80" s="2">
        <v>0.99961</v>
      </c>
      <c r="H80" s="2">
        <v>1</v>
      </c>
      <c r="I80" s="2">
        <v>0.995</v>
      </c>
      <c r="J80" s="2">
        <v>0.995</v>
      </c>
      <c r="K80" s="2">
        <v>5.4789999999999998E-2</v>
      </c>
      <c r="L80" s="2">
        <v>0.18468999999999999</v>
      </c>
      <c r="M80" s="2">
        <v>0.76727000000000001</v>
      </c>
    </row>
    <row r="81" spans="2:13" x14ac:dyDescent="0.3">
      <c r="B81" s="27">
        <v>75</v>
      </c>
      <c r="C81" s="2">
        <v>49714.6</v>
      </c>
      <c r="D81" s="2">
        <v>9.0990000000000001E-2</v>
      </c>
      <c r="E81" s="2">
        <v>0.22500000000000001</v>
      </c>
      <c r="F81" s="2">
        <v>0.80105999999999999</v>
      </c>
      <c r="G81" s="2">
        <v>0.99953999999999998</v>
      </c>
      <c r="H81" s="2">
        <v>1</v>
      </c>
      <c r="I81" s="2">
        <v>0.995</v>
      </c>
      <c r="J81" s="2">
        <v>0.995</v>
      </c>
      <c r="K81" s="2">
        <v>5.4530000000000002E-2</v>
      </c>
      <c r="L81" s="2">
        <v>0.18331</v>
      </c>
      <c r="M81" s="2">
        <v>0.76685000000000003</v>
      </c>
    </row>
    <row r="82" spans="2:13" x14ac:dyDescent="0.3">
      <c r="B82" s="27">
        <v>76</v>
      </c>
      <c r="C82" s="2">
        <v>50361.8</v>
      </c>
      <c r="D82" s="2">
        <v>9.0459999999999999E-2</v>
      </c>
      <c r="E82" s="2">
        <v>0.22144</v>
      </c>
      <c r="F82" s="2">
        <v>0.80096999999999996</v>
      </c>
      <c r="G82" s="2">
        <v>0.99948000000000004</v>
      </c>
      <c r="H82" s="2">
        <v>1</v>
      </c>
      <c r="I82" s="2">
        <v>0.995</v>
      </c>
      <c r="J82" s="2">
        <v>0.995</v>
      </c>
      <c r="K82" s="2">
        <v>5.3339999999999999E-2</v>
      </c>
      <c r="L82" s="2">
        <v>0.18071000000000001</v>
      </c>
      <c r="M82" s="2">
        <v>0.76675000000000004</v>
      </c>
    </row>
    <row r="83" spans="2:13" x14ac:dyDescent="0.3">
      <c r="B83" s="27">
        <v>77</v>
      </c>
      <c r="C83" s="2">
        <v>51010.6</v>
      </c>
      <c r="D83" s="2">
        <v>8.9550000000000005E-2</v>
      </c>
      <c r="E83" s="2">
        <v>0.22042999999999999</v>
      </c>
      <c r="F83" s="2">
        <v>0.79998999999999998</v>
      </c>
      <c r="G83" s="2">
        <v>0.99956</v>
      </c>
      <c r="H83" s="2">
        <v>1</v>
      </c>
      <c r="I83" s="2">
        <v>0.995</v>
      </c>
      <c r="J83" s="2">
        <v>0.995</v>
      </c>
      <c r="K83" s="2">
        <v>5.3800000000000001E-2</v>
      </c>
      <c r="L83" s="2">
        <v>0.18099000000000001</v>
      </c>
      <c r="M83" s="2">
        <v>0.76690000000000003</v>
      </c>
    </row>
    <row r="84" spans="2:13" x14ac:dyDescent="0.3">
      <c r="B84" s="27">
        <v>78</v>
      </c>
      <c r="C84" s="2">
        <v>51656.1</v>
      </c>
      <c r="D84" s="2">
        <v>8.8590000000000002E-2</v>
      </c>
      <c r="E84" s="2">
        <v>0.21904999999999999</v>
      </c>
      <c r="F84" s="2">
        <v>0.80127999999999999</v>
      </c>
      <c r="G84" s="2">
        <v>0.99946999999999997</v>
      </c>
      <c r="H84" s="2">
        <v>1</v>
      </c>
      <c r="I84" s="2">
        <v>0.995</v>
      </c>
      <c r="J84" s="2">
        <v>0.995</v>
      </c>
      <c r="K84" s="2">
        <v>5.4829999999999997E-2</v>
      </c>
      <c r="L84" s="2">
        <v>0.18107999999999999</v>
      </c>
      <c r="M84" s="2">
        <v>0.76690000000000003</v>
      </c>
    </row>
    <row r="85" spans="2:13" x14ac:dyDescent="0.3">
      <c r="B85" s="27">
        <v>79</v>
      </c>
      <c r="C85" s="2">
        <v>52299.1</v>
      </c>
      <c r="D85" s="2">
        <v>8.8590000000000002E-2</v>
      </c>
      <c r="E85" s="2">
        <v>0.21731</v>
      </c>
      <c r="F85" s="2">
        <v>0.80132000000000003</v>
      </c>
      <c r="G85" s="2">
        <v>0.99956</v>
      </c>
      <c r="H85" s="2">
        <v>1</v>
      </c>
      <c r="I85" s="2">
        <v>0.995</v>
      </c>
      <c r="J85" s="2">
        <v>0.995</v>
      </c>
      <c r="K85" s="2">
        <v>5.2920000000000002E-2</v>
      </c>
      <c r="L85" s="2">
        <v>0.17842</v>
      </c>
      <c r="M85" s="2">
        <v>0.76683000000000001</v>
      </c>
    </row>
    <row r="86" spans="2:13" x14ac:dyDescent="0.3">
      <c r="B86" s="27">
        <v>80</v>
      </c>
      <c r="C86" s="2">
        <v>52948.4</v>
      </c>
      <c r="D86" s="2">
        <v>8.9539999999999995E-2</v>
      </c>
      <c r="E86" s="2">
        <v>0.21640999999999999</v>
      </c>
      <c r="F86" s="2">
        <v>0.79995000000000005</v>
      </c>
      <c r="G86" s="2">
        <v>0.99946999999999997</v>
      </c>
      <c r="H86" s="2">
        <v>1</v>
      </c>
      <c r="I86" s="2">
        <v>0.995</v>
      </c>
      <c r="J86" s="2">
        <v>0.995</v>
      </c>
      <c r="K86" s="2">
        <v>5.2220000000000003E-2</v>
      </c>
      <c r="L86" s="2">
        <v>0.17505000000000001</v>
      </c>
      <c r="M86" s="2">
        <v>0.76741999999999999</v>
      </c>
    </row>
    <row r="87" spans="2:13" x14ac:dyDescent="0.3">
      <c r="B87" s="27">
        <v>81</v>
      </c>
      <c r="C87" s="2">
        <v>53593.8</v>
      </c>
      <c r="D87" s="2">
        <v>8.8770000000000002E-2</v>
      </c>
      <c r="E87" s="2">
        <v>0.21587999999999999</v>
      </c>
      <c r="F87" s="2">
        <v>0.80220000000000002</v>
      </c>
      <c r="G87" s="2">
        <v>0.99956</v>
      </c>
      <c r="H87" s="2">
        <v>1</v>
      </c>
      <c r="I87" s="2">
        <v>0.995</v>
      </c>
      <c r="J87" s="2">
        <v>0.995</v>
      </c>
      <c r="K87" s="2">
        <v>5.2920000000000002E-2</v>
      </c>
      <c r="L87" s="2">
        <v>0.17494999999999999</v>
      </c>
      <c r="M87" s="2">
        <v>0.76761999999999997</v>
      </c>
    </row>
    <row r="88" spans="2:13" x14ac:dyDescent="0.3">
      <c r="B88" s="27">
        <v>82</v>
      </c>
      <c r="C88" s="2">
        <v>54240.3</v>
      </c>
      <c r="D88" s="2">
        <v>8.8359999999999994E-2</v>
      </c>
      <c r="E88" s="2">
        <v>0.2147</v>
      </c>
      <c r="F88" s="2">
        <v>0.80128999999999995</v>
      </c>
      <c r="G88" s="2">
        <v>0.99955000000000005</v>
      </c>
      <c r="H88" s="2">
        <v>1</v>
      </c>
      <c r="I88" s="2">
        <v>0.995</v>
      </c>
      <c r="J88" s="2">
        <v>0.995</v>
      </c>
      <c r="K88" s="2">
        <v>5.237E-2</v>
      </c>
      <c r="L88" s="2">
        <v>0.17584</v>
      </c>
      <c r="M88" s="2">
        <v>0.76778999999999997</v>
      </c>
    </row>
    <row r="89" spans="2:13" x14ac:dyDescent="0.3">
      <c r="B89" s="27">
        <v>83</v>
      </c>
      <c r="C89" s="2">
        <v>54886.6</v>
      </c>
      <c r="D89" s="2">
        <v>8.7620000000000003E-2</v>
      </c>
      <c r="E89" s="2">
        <v>0.20982000000000001</v>
      </c>
      <c r="F89" s="2">
        <v>0.79740999999999995</v>
      </c>
      <c r="G89" s="2">
        <v>0.99956</v>
      </c>
      <c r="H89" s="2">
        <v>1</v>
      </c>
      <c r="I89" s="2">
        <v>0.995</v>
      </c>
      <c r="J89" s="2">
        <v>0.995</v>
      </c>
      <c r="K89" s="2">
        <v>5.219E-2</v>
      </c>
      <c r="L89" s="2">
        <v>0.17441000000000001</v>
      </c>
      <c r="M89" s="2">
        <v>0.76729999999999998</v>
      </c>
    </row>
    <row r="90" spans="2:13" x14ac:dyDescent="0.3">
      <c r="B90" s="27">
        <v>84</v>
      </c>
      <c r="C90" s="2">
        <v>55532.2</v>
      </c>
      <c r="D90" s="2">
        <v>8.7910000000000002E-2</v>
      </c>
      <c r="E90" s="2">
        <v>0.21362</v>
      </c>
      <c r="F90" s="2">
        <v>0.80001</v>
      </c>
      <c r="G90" s="2">
        <v>0.99960000000000004</v>
      </c>
      <c r="H90" s="2">
        <v>1</v>
      </c>
      <c r="I90" s="2">
        <v>0.995</v>
      </c>
      <c r="J90" s="2">
        <v>0.995</v>
      </c>
      <c r="K90" s="2">
        <v>5.3269999999999998E-2</v>
      </c>
      <c r="L90" s="2">
        <v>0.17508000000000001</v>
      </c>
      <c r="M90" s="2">
        <v>0.76719000000000004</v>
      </c>
    </row>
    <row r="91" spans="2:13" x14ac:dyDescent="0.3">
      <c r="B91" s="27">
        <v>85</v>
      </c>
      <c r="C91" s="2">
        <v>56177.1</v>
      </c>
      <c r="D91" s="2">
        <v>8.7300000000000003E-2</v>
      </c>
      <c r="E91" s="2">
        <v>0.21376000000000001</v>
      </c>
      <c r="F91" s="2">
        <v>0.80069999999999997</v>
      </c>
      <c r="G91" s="2">
        <v>0.99943000000000004</v>
      </c>
      <c r="H91" s="2">
        <v>1</v>
      </c>
      <c r="I91" s="2">
        <v>0.995</v>
      </c>
      <c r="J91" s="2">
        <v>0.995</v>
      </c>
      <c r="K91" s="2">
        <v>5.3469999999999997E-2</v>
      </c>
      <c r="L91" s="2">
        <v>0.17457</v>
      </c>
      <c r="M91" s="2">
        <v>0.76617000000000002</v>
      </c>
    </row>
    <row r="92" spans="2:13" x14ac:dyDescent="0.3">
      <c r="B92" s="27">
        <v>86</v>
      </c>
      <c r="C92" s="2">
        <v>56823.3</v>
      </c>
      <c r="D92" s="2">
        <v>8.6980000000000002E-2</v>
      </c>
      <c r="E92" s="2">
        <v>0.21385000000000001</v>
      </c>
      <c r="F92" s="2">
        <v>0.80310000000000004</v>
      </c>
      <c r="G92" s="2">
        <v>0.99956</v>
      </c>
      <c r="H92" s="2">
        <v>1</v>
      </c>
      <c r="I92" s="2">
        <v>0.995</v>
      </c>
      <c r="J92" s="2">
        <v>0.995</v>
      </c>
      <c r="K92" s="2">
        <v>5.2400000000000002E-2</v>
      </c>
      <c r="L92" s="2">
        <v>0.17222999999999999</v>
      </c>
      <c r="M92" s="2">
        <v>0.76610999999999996</v>
      </c>
    </row>
    <row r="93" spans="2:13" x14ac:dyDescent="0.3">
      <c r="B93" s="27">
        <v>87</v>
      </c>
      <c r="C93" s="2">
        <v>57466.5</v>
      </c>
      <c r="D93" s="2">
        <v>8.6910000000000001E-2</v>
      </c>
      <c r="E93" s="2">
        <v>0.21213000000000001</v>
      </c>
      <c r="F93" s="2">
        <v>0.80195000000000005</v>
      </c>
      <c r="G93" s="2">
        <v>0.99956999999999996</v>
      </c>
      <c r="H93" s="2">
        <v>1</v>
      </c>
      <c r="I93" s="2">
        <v>0.995</v>
      </c>
      <c r="J93" s="2">
        <v>0.995</v>
      </c>
      <c r="K93" s="2">
        <v>5.2659999999999998E-2</v>
      </c>
      <c r="L93" s="2">
        <v>0.17221</v>
      </c>
      <c r="M93" s="2">
        <v>0.76680999999999999</v>
      </c>
    </row>
    <row r="94" spans="2:13" x14ac:dyDescent="0.3">
      <c r="B94" s="27">
        <v>88</v>
      </c>
      <c r="C94" s="2">
        <v>58114</v>
      </c>
      <c r="D94" s="2">
        <v>8.702E-2</v>
      </c>
      <c r="E94" s="2">
        <v>0.21387999999999999</v>
      </c>
      <c r="F94" s="2">
        <v>0.80188000000000004</v>
      </c>
      <c r="G94" s="2">
        <v>0.99953000000000003</v>
      </c>
      <c r="H94" s="2">
        <v>1</v>
      </c>
      <c r="I94" s="2">
        <v>0.995</v>
      </c>
      <c r="J94" s="2">
        <v>0.995</v>
      </c>
      <c r="K94" s="2">
        <v>5.3650000000000003E-2</v>
      </c>
      <c r="L94" s="2">
        <v>0.17233000000000001</v>
      </c>
      <c r="M94" s="2">
        <v>0.76705000000000001</v>
      </c>
    </row>
    <row r="95" spans="2:13" x14ac:dyDescent="0.3">
      <c r="B95" s="27">
        <v>89</v>
      </c>
      <c r="C95" s="2">
        <v>58759.1</v>
      </c>
      <c r="D95" s="2">
        <v>8.5440000000000002E-2</v>
      </c>
      <c r="E95" s="2">
        <v>0.20680999999999999</v>
      </c>
      <c r="F95" s="2">
        <v>0.79971999999999999</v>
      </c>
      <c r="G95" s="2">
        <v>0.99948999999999999</v>
      </c>
      <c r="H95" s="2">
        <v>1</v>
      </c>
      <c r="I95" s="2">
        <v>0.995</v>
      </c>
      <c r="J95" s="2">
        <v>0.995</v>
      </c>
      <c r="K95" s="2">
        <v>5.2420000000000001E-2</v>
      </c>
      <c r="L95" s="2">
        <v>0.17121</v>
      </c>
      <c r="M95" s="2">
        <v>0.76722000000000001</v>
      </c>
    </row>
    <row r="96" spans="2:13" x14ac:dyDescent="0.3">
      <c r="B96" s="27">
        <v>90</v>
      </c>
      <c r="C96" s="2">
        <v>59403.1</v>
      </c>
      <c r="D96" s="2">
        <v>8.677E-2</v>
      </c>
      <c r="E96" s="2">
        <v>0.20938000000000001</v>
      </c>
      <c r="F96" s="2">
        <v>0.80079</v>
      </c>
      <c r="G96" s="2">
        <v>0.99953000000000003</v>
      </c>
      <c r="H96" s="2">
        <v>1</v>
      </c>
      <c r="I96" s="2">
        <v>0.995</v>
      </c>
      <c r="J96" s="2">
        <v>0.995</v>
      </c>
      <c r="K96" s="2">
        <v>5.2260000000000001E-2</v>
      </c>
      <c r="L96" s="2">
        <v>0.17158999999999999</v>
      </c>
      <c r="M96" s="2">
        <v>0.76644000000000001</v>
      </c>
    </row>
    <row r="97" spans="2:13" x14ac:dyDescent="0.3">
      <c r="B97" s="27">
        <v>91</v>
      </c>
      <c r="C97" s="2">
        <v>60042.7</v>
      </c>
      <c r="D97" s="2">
        <v>6.3659999999999994E-2</v>
      </c>
      <c r="E97" s="2">
        <v>0.22120999999999999</v>
      </c>
      <c r="F97" s="2">
        <v>0.75788999999999995</v>
      </c>
      <c r="G97" s="2">
        <v>0.99948999999999999</v>
      </c>
      <c r="H97" s="2">
        <v>1</v>
      </c>
      <c r="I97" s="2">
        <v>0.995</v>
      </c>
      <c r="J97" s="2">
        <v>0.995</v>
      </c>
      <c r="K97" s="2">
        <v>5.3990000000000003E-2</v>
      </c>
      <c r="L97" s="2">
        <v>0.17738000000000001</v>
      </c>
      <c r="M97" s="2">
        <v>0.76598999999999995</v>
      </c>
    </row>
    <row r="98" spans="2:13" x14ac:dyDescent="0.3">
      <c r="B98" s="27">
        <v>92</v>
      </c>
      <c r="C98" s="2">
        <v>60685</v>
      </c>
      <c r="D98" s="2">
        <v>6.1550000000000001E-2</v>
      </c>
      <c r="E98" s="2">
        <v>0.21775</v>
      </c>
      <c r="F98" s="2">
        <v>0.75785999999999998</v>
      </c>
      <c r="G98" s="2">
        <v>0.99951999999999996</v>
      </c>
      <c r="H98" s="2">
        <v>1</v>
      </c>
      <c r="I98" s="2">
        <v>0.995</v>
      </c>
      <c r="J98" s="2">
        <v>0.995</v>
      </c>
      <c r="K98" s="2">
        <v>5.4530000000000002E-2</v>
      </c>
      <c r="L98" s="2">
        <v>0.17427999999999999</v>
      </c>
      <c r="M98" s="2">
        <v>0.76717000000000002</v>
      </c>
    </row>
    <row r="99" spans="2:13" x14ac:dyDescent="0.3">
      <c r="B99" s="27">
        <v>93</v>
      </c>
      <c r="C99" s="2">
        <v>61322.3</v>
      </c>
      <c r="D99" s="2">
        <v>6.173E-2</v>
      </c>
      <c r="E99" s="2">
        <v>0.21612000000000001</v>
      </c>
      <c r="F99" s="2">
        <v>0.75807000000000002</v>
      </c>
      <c r="G99" s="2">
        <v>0.99953000000000003</v>
      </c>
      <c r="H99" s="2">
        <v>1</v>
      </c>
      <c r="I99" s="2">
        <v>0.995</v>
      </c>
      <c r="J99" s="2">
        <v>0.995</v>
      </c>
      <c r="K99" s="2">
        <v>5.3949999999999998E-2</v>
      </c>
      <c r="L99" s="2">
        <v>0.17438999999999999</v>
      </c>
      <c r="M99" s="2">
        <v>0.76624000000000003</v>
      </c>
    </row>
    <row r="100" spans="2:13" x14ac:dyDescent="0.3">
      <c r="B100" s="27">
        <v>94</v>
      </c>
      <c r="C100" s="2">
        <v>61961.1</v>
      </c>
      <c r="D100" s="2">
        <v>6.1089999999999998E-2</v>
      </c>
      <c r="E100" s="2">
        <v>0.21582999999999999</v>
      </c>
      <c r="F100" s="2">
        <v>0.75705999999999996</v>
      </c>
      <c r="G100" s="2">
        <v>0.99955000000000005</v>
      </c>
      <c r="H100" s="2">
        <v>1</v>
      </c>
      <c r="I100" s="2">
        <v>0.995</v>
      </c>
      <c r="J100" s="2">
        <v>0.995</v>
      </c>
      <c r="K100" s="2">
        <v>5.2139999999999999E-2</v>
      </c>
      <c r="L100" s="2">
        <v>0.17441999999999999</v>
      </c>
      <c r="M100" s="2">
        <v>0.76539999999999997</v>
      </c>
    </row>
    <row r="101" spans="2:13" x14ac:dyDescent="0.3">
      <c r="B101" s="27">
        <v>95</v>
      </c>
      <c r="C101" s="2">
        <v>62596.7</v>
      </c>
      <c r="D101" s="2">
        <v>6.1519999999999998E-2</v>
      </c>
      <c r="E101" s="2">
        <v>0.21507999999999999</v>
      </c>
      <c r="F101" s="2">
        <v>0.75629999999999997</v>
      </c>
      <c r="G101" s="2">
        <v>0.99956999999999996</v>
      </c>
      <c r="H101" s="2">
        <v>1</v>
      </c>
      <c r="I101" s="2">
        <v>0.995</v>
      </c>
      <c r="J101" s="2">
        <v>0.995</v>
      </c>
      <c r="K101" s="2">
        <v>5.1749999999999997E-2</v>
      </c>
      <c r="L101" s="2">
        <v>0.17280999999999999</v>
      </c>
      <c r="M101" s="2">
        <v>0.76590000000000003</v>
      </c>
    </row>
    <row r="102" spans="2:13" x14ac:dyDescent="0.3">
      <c r="B102" s="27">
        <v>96</v>
      </c>
      <c r="C102" s="2">
        <v>63237.4</v>
      </c>
      <c r="D102" s="2">
        <v>6.0470000000000003E-2</v>
      </c>
      <c r="E102" s="2">
        <v>0.21334</v>
      </c>
      <c r="F102" s="2">
        <v>0.75349999999999995</v>
      </c>
      <c r="G102" s="2">
        <v>0.99958000000000002</v>
      </c>
      <c r="H102" s="2">
        <v>1</v>
      </c>
      <c r="I102" s="2">
        <v>0.995</v>
      </c>
      <c r="J102" s="2">
        <v>0.995</v>
      </c>
      <c r="K102" s="2">
        <v>5.2630000000000003E-2</v>
      </c>
      <c r="L102" s="2">
        <v>0.1714</v>
      </c>
      <c r="M102" s="2">
        <v>0.76724000000000003</v>
      </c>
    </row>
    <row r="103" spans="2:13" x14ac:dyDescent="0.3">
      <c r="B103" s="27">
        <v>97</v>
      </c>
      <c r="C103" s="2">
        <v>63876.1</v>
      </c>
      <c r="D103" s="2">
        <v>6.0580000000000002E-2</v>
      </c>
      <c r="E103" s="2">
        <v>0.21412</v>
      </c>
      <c r="F103" s="2">
        <v>0.75758999999999999</v>
      </c>
      <c r="G103" s="2">
        <v>0.99955000000000005</v>
      </c>
      <c r="H103" s="2">
        <v>1</v>
      </c>
      <c r="I103" s="2">
        <v>0.995</v>
      </c>
      <c r="J103" s="2">
        <v>0.995</v>
      </c>
      <c r="K103" s="2">
        <v>5.1920000000000001E-2</v>
      </c>
      <c r="L103" s="2">
        <v>0.17076</v>
      </c>
      <c r="M103" s="2">
        <v>0.76593</v>
      </c>
    </row>
    <row r="104" spans="2:13" x14ac:dyDescent="0.3">
      <c r="B104" s="27">
        <v>98</v>
      </c>
      <c r="C104" s="2">
        <v>64517.7</v>
      </c>
      <c r="D104" s="2">
        <v>6.0019999999999997E-2</v>
      </c>
      <c r="E104" s="2">
        <v>0.21142</v>
      </c>
      <c r="F104" s="2">
        <v>0.75705</v>
      </c>
      <c r="G104" s="2">
        <v>0.99955000000000005</v>
      </c>
      <c r="H104" s="2">
        <v>1</v>
      </c>
      <c r="I104" s="2">
        <v>0.995</v>
      </c>
      <c r="J104" s="2">
        <v>0.995</v>
      </c>
      <c r="K104" s="2">
        <v>5.2019999999999997E-2</v>
      </c>
      <c r="L104" s="2">
        <v>0.16897999999999999</v>
      </c>
      <c r="M104" s="2">
        <v>0.76632</v>
      </c>
    </row>
    <row r="105" spans="2:13" x14ac:dyDescent="0.3">
      <c r="B105" s="27">
        <v>99</v>
      </c>
      <c r="C105" s="2">
        <v>65157.599999999999</v>
      </c>
      <c r="D105" s="2">
        <v>5.9299999999999999E-2</v>
      </c>
      <c r="E105" s="2">
        <v>0.21017</v>
      </c>
      <c r="F105" s="2">
        <v>0.75946999999999998</v>
      </c>
      <c r="G105" s="2">
        <v>0.99953999999999998</v>
      </c>
      <c r="H105" s="2">
        <v>1</v>
      </c>
      <c r="I105" s="2">
        <v>0.995</v>
      </c>
      <c r="J105" s="2">
        <v>0.995</v>
      </c>
      <c r="K105" s="2">
        <v>5.1540000000000002E-2</v>
      </c>
      <c r="L105" s="2">
        <v>0.16755999999999999</v>
      </c>
      <c r="M105" s="2">
        <v>0.76614000000000004</v>
      </c>
    </row>
    <row r="106" spans="2:13" ht="17.25" thickBot="1" x14ac:dyDescent="0.35">
      <c r="B106" s="28">
        <v>100</v>
      </c>
      <c r="C106" s="3">
        <v>65791.600000000006</v>
      </c>
      <c r="D106" s="3">
        <v>5.8360000000000002E-2</v>
      </c>
      <c r="E106" s="3">
        <v>0.20824999999999999</v>
      </c>
      <c r="F106" s="3">
        <v>0.75670999999999999</v>
      </c>
      <c r="G106" s="3">
        <v>0.99955000000000005</v>
      </c>
      <c r="H106" s="3">
        <v>1</v>
      </c>
      <c r="I106" s="3">
        <v>0.995</v>
      </c>
      <c r="J106" s="3">
        <v>0.995</v>
      </c>
      <c r="K106" s="3">
        <v>5.1619999999999999E-2</v>
      </c>
      <c r="L106" s="3">
        <v>0.16689999999999999</v>
      </c>
      <c r="M106" s="3">
        <v>0.76607000000000003</v>
      </c>
    </row>
    <row r="107" spans="2:13" x14ac:dyDescent="0.3">
      <c r="C107">
        <f>C106/3600</f>
        <v>18.275444444444446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GNERAL INFORMATION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SHIPS</dc:creator>
  <cp:lastModifiedBy>SHIPS</cp:lastModifiedBy>
  <dcterms:created xsi:type="dcterms:W3CDTF">2026-01-22T06:47:50Z</dcterms:created>
  <dcterms:modified xsi:type="dcterms:W3CDTF">2026-02-13T04:30:15Z</dcterms:modified>
</cp:coreProperties>
</file>