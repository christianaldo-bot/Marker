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Project\dataset_information\"/>
    </mc:Choice>
  </mc:AlternateContent>
  <bookViews>
    <workbookView xWindow="0" yWindow="0" windowWidth="28770" windowHeight="17535" activeTab="1"/>
  </bookViews>
  <sheets>
    <sheet name="GNERAL INFORMATION" sheetId="1" r:id="rId1"/>
    <sheet name="Resul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C107" i="2" l="1"/>
  <c r="E12" i="1" l="1"/>
  <c r="E14" i="1" l="1"/>
  <c r="E15" i="1" l="1"/>
</calcChain>
</file>

<file path=xl/sharedStrings.xml><?xml version="1.0" encoding="utf-8"?>
<sst xmlns="http://schemas.openxmlformats.org/spreadsheetml/2006/main" count="76" uniqueCount="65">
  <si>
    <t>TRAINING MODEL FOR AR MARKER DETECTION</t>
    <phoneticPr fontId="1" type="noConversion"/>
  </si>
  <si>
    <t>variabel</t>
    <phoneticPr fontId="1" type="noConversion"/>
  </si>
  <si>
    <t>ID ARUCO Marker</t>
    <phoneticPr fontId="1" type="noConversion"/>
  </si>
  <si>
    <t>=</t>
    <phoneticPr fontId="1" type="noConversion"/>
  </si>
  <si>
    <t>=</t>
    <phoneticPr fontId="1" type="noConversion"/>
  </si>
  <si>
    <t>(0-9)</t>
    <phoneticPr fontId="1" type="noConversion"/>
  </si>
  <si>
    <t>consists of 2 sequential marker IDs</t>
    <phoneticPr fontId="1" type="noConversion"/>
  </si>
  <si>
    <t>Defect</t>
    <phoneticPr fontId="1" type="noConversion"/>
  </si>
  <si>
    <t>there are 6 defect</t>
    <phoneticPr fontId="1" type="noConversion"/>
  </si>
  <si>
    <t>Homohraphy Tranformation</t>
    <phoneticPr fontId="1" type="noConversion"/>
  </si>
  <si>
    <t>Image</t>
    <phoneticPr fontId="1" type="noConversion"/>
  </si>
  <si>
    <t>Augmentation</t>
    <phoneticPr fontId="1" type="noConversion"/>
  </si>
  <si>
    <t>applying 5 types of image augmentation</t>
  </si>
  <si>
    <t>No</t>
    <phoneticPr fontId="1" type="noConversion"/>
  </si>
  <si>
    <t>Quantity</t>
    <phoneticPr fontId="1" type="noConversion"/>
  </si>
  <si>
    <t>Description</t>
    <phoneticPr fontId="1" type="noConversion"/>
  </si>
  <si>
    <t>Total Image for training</t>
    <phoneticPr fontId="1" type="noConversion"/>
  </si>
  <si>
    <t>GENERAL INFORMATION</t>
    <phoneticPr fontId="1" type="noConversion"/>
  </si>
  <si>
    <t>MODEL TRAINING INFORMATION</t>
    <phoneticPr fontId="1" type="noConversion"/>
  </si>
  <si>
    <t>YOLO Model</t>
    <phoneticPr fontId="1" type="noConversion"/>
  </si>
  <si>
    <t>=</t>
    <phoneticPr fontId="1" type="noConversion"/>
  </si>
  <si>
    <t>YOLOv8n.pt</t>
    <phoneticPr fontId="1" type="noConversion"/>
  </si>
  <si>
    <t>=</t>
    <phoneticPr fontId="1" type="noConversion"/>
  </si>
  <si>
    <t>image size</t>
    <phoneticPr fontId="1" type="noConversion"/>
  </si>
  <si>
    <t>batch</t>
    <phoneticPr fontId="1" type="noConversion"/>
  </si>
  <si>
    <t>time</t>
  </si>
  <si>
    <t>train/box_loss</t>
  </si>
  <si>
    <t>train/cls_loss</t>
  </si>
  <si>
    <t>train/dfl_loss</t>
  </si>
  <si>
    <t>val/box_loss</t>
  </si>
  <si>
    <t>val/cls_loss</t>
  </si>
  <si>
    <t>val/dfl_loss</t>
  </si>
  <si>
    <t>train/box_loss</t>
    <phoneticPr fontId="1" type="noConversion"/>
  </si>
  <si>
    <t>train/cls_loss</t>
    <phoneticPr fontId="1" type="noConversion"/>
  </si>
  <si>
    <t>train/dfl_loss</t>
    <phoneticPr fontId="1" type="noConversion"/>
  </si>
  <si>
    <t>metrics/precision</t>
    <phoneticPr fontId="1" type="noConversion"/>
  </si>
  <si>
    <t>metrics/recall</t>
    <phoneticPr fontId="1" type="noConversion"/>
  </si>
  <si>
    <t>val/box_loss</t>
    <phoneticPr fontId="1" type="noConversion"/>
  </si>
  <si>
    <t>val/cls_loss</t>
    <phoneticPr fontId="1" type="noConversion"/>
  </si>
  <si>
    <t>val/dfl_loss</t>
    <phoneticPr fontId="1" type="noConversion"/>
  </si>
  <si>
    <t>metrics/mAP50</t>
    <phoneticPr fontId="1" type="noConversion"/>
  </si>
  <si>
    <t>metrics/mAP50-95</t>
    <phoneticPr fontId="1" type="noConversion"/>
  </si>
  <si>
    <t>YOLO predict the bounding box of the marker</t>
    <phoneticPr fontId="1" type="noConversion"/>
  </si>
  <si>
    <t>Loss for bounding box accuracy.</t>
  </si>
  <si>
    <t>Loss for class classification.</t>
  </si>
  <si>
    <t>YOLO predict the marker ID</t>
    <phoneticPr fontId="1" type="noConversion"/>
  </si>
  <si>
    <t>calculation for precision</t>
    <phoneticPr fontId="1" type="noConversion"/>
  </si>
  <si>
    <t>Calculating how many marker ID predictions are correct out of all detected markers</t>
  </si>
  <si>
    <t>calculation for recall</t>
    <phoneticPr fontId="1" type="noConversion"/>
  </si>
  <si>
    <t>YOLO modeling the distribution of possible box positions</t>
    <phoneticPr fontId="1" type="noConversion"/>
  </si>
  <si>
    <t>Distribution Focal Loss</t>
  </si>
  <si>
    <t>model’s ability to detect objects</t>
  </si>
  <si>
    <t>precision of the bounding boxes</t>
  </si>
  <si>
    <t>Calculating how many markers are found out of all existing markers.</t>
    <phoneticPr fontId="1" type="noConversion"/>
  </si>
  <si>
    <t>Calculating the success rate of object recognition</t>
  </si>
  <si>
    <t>Detecting objects and marking their positions as accurately as possible, as quickly as possible</t>
    <phoneticPr fontId="1" type="noConversion"/>
  </si>
  <si>
    <t>Training Result</t>
    <phoneticPr fontId="1" type="noConversion"/>
  </si>
  <si>
    <t>epoch</t>
    <phoneticPr fontId="1" type="noConversion"/>
  </si>
  <si>
    <t>=</t>
    <phoneticPr fontId="1" type="noConversion"/>
  </si>
  <si>
    <t>performing 25 homographies (10 extreme rotation, 5 resization, 10 extreme tiltation)</t>
    <phoneticPr fontId="1" type="noConversion"/>
  </si>
  <si>
    <t>epoch</t>
  </si>
  <si>
    <t>metrics/precision(B)</t>
  </si>
  <si>
    <t>metrics/recall(B)</t>
  </si>
  <si>
    <t>metrics/mAP50(B)</t>
  </si>
  <si>
    <t>metrics/mAP50-95(B)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</si>
</sst>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 Unicode MS"/>
      <family val="3"/>
      <charset val="129"/>
    </font>
    <font>
      <sz val="12"/>
      <color theme="1"/>
      <name val="Arial Unicode MS"/>
      <family val="3"/>
      <charset val="129"/>
    </font>
    <font>
      <b/>
      <sz val="12"/>
      <color theme="1"/>
      <name val="Arial Unicode MS"/>
      <family val="3"/>
      <charset val="129"/>
    </font>
    <font>
      <b/>
      <sz val="20"/>
      <color theme="1"/>
      <name val="Arial Unicode MS"/>
      <family val="3"/>
      <charset val="129"/>
    </font>
    <font>
      <b/>
      <sz val="24"/>
      <color theme="1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533400</xdr:colOff>
      <xdr:row>5</xdr:row>
      <xdr:rowOff>197643</xdr:rowOff>
    </xdr:from>
    <xdr:to>
      <xdr:col>18</xdr:col>
      <xdr:colOff>29483</xdr:colOff>
      <xdr:row>32</xdr:row>
      <xdr:rowOff>114300</xdr:rowOff>
    </xdr:to>
    <xdr:pic>
      <xdr:nvPicPr>
        <xdr:cNvPr id="4" name="그림 3" descr="D:\AR Marker\Project\runs\experiment_4\aruco_yolo_1_training\results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435893"/>
          <a:ext cx="11973833" cy="6031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2"/>
  <sheetViews>
    <sheetView workbookViewId="0">
      <selection activeCell="F27" sqref="F27"/>
    </sheetView>
  </sheetViews>
  <sheetFormatPr defaultRowHeight="16.5" x14ac:dyDescent="0.3"/>
  <cols>
    <col min="1" max="2" width="9" style="1"/>
    <col min="3" max="3" width="46.5" style="1" bestFit="1" customWidth="1"/>
    <col min="4" max="4" width="3.375" style="1" customWidth="1"/>
    <col min="5" max="5" width="11.625" style="1" bestFit="1" customWidth="1"/>
    <col min="6" max="6" width="81" style="1" bestFit="1" customWidth="1"/>
    <col min="7" max="16384" width="9" style="1"/>
  </cols>
  <sheetData>
    <row r="3" spans="2:6" ht="34.5" x14ac:dyDescent="0.3">
      <c r="B3" s="44" t="s">
        <v>0</v>
      </c>
      <c r="C3" s="44"/>
      <c r="D3" s="44"/>
      <c r="E3" s="44"/>
      <c r="F3" s="44"/>
    </row>
    <row r="8" spans="2:6" ht="17.25" thickBot="1" x14ac:dyDescent="0.35">
      <c r="C8" s="1" t="s">
        <v>17</v>
      </c>
    </row>
    <row r="9" spans="2:6" ht="17.25" x14ac:dyDescent="0.3">
      <c r="B9" s="4" t="s">
        <v>13</v>
      </c>
      <c r="C9" s="5" t="s">
        <v>1</v>
      </c>
      <c r="D9" s="5"/>
      <c r="E9" s="5" t="s">
        <v>14</v>
      </c>
      <c r="F9" s="6" t="s">
        <v>15</v>
      </c>
    </row>
    <row r="10" spans="2:6" ht="17.25" x14ac:dyDescent="0.3">
      <c r="B10" s="7">
        <v>1</v>
      </c>
      <c r="C10" s="8" t="s">
        <v>2</v>
      </c>
      <c r="D10" s="9" t="s">
        <v>3</v>
      </c>
      <c r="E10" s="9">
        <v>10</v>
      </c>
      <c r="F10" s="10" t="s">
        <v>5</v>
      </c>
    </row>
    <row r="11" spans="2:6" ht="17.25" x14ac:dyDescent="0.3">
      <c r="B11" s="7">
        <v>2</v>
      </c>
      <c r="C11" s="8" t="s">
        <v>10</v>
      </c>
      <c r="D11" s="9" t="s">
        <v>4</v>
      </c>
      <c r="E11" s="9">
        <v>5</v>
      </c>
      <c r="F11" s="10" t="s">
        <v>6</v>
      </c>
    </row>
    <row r="12" spans="2:6" ht="17.25" x14ac:dyDescent="0.3">
      <c r="B12" s="7">
        <v>3</v>
      </c>
      <c r="C12" s="8" t="s">
        <v>7</v>
      </c>
      <c r="D12" s="9" t="s">
        <v>4</v>
      </c>
      <c r="E12" s="9">
        <f>E11*6</f>
        <v>30</v>
      </c>
      <c r="F12" s="10" t="s">
        <v>8</v>
      </c>
    </row>
    <row r="13" spans="2:6" ht="17.25" x14ac:dyDescent="0.3">
      <c r="B13" s="7">
        <v>4</v>
      </c>
      <c r="C13" s="8" t="s">
        <v>9</v>
      </c>
      <c r="D13" s="9" t="s">
        <v>4</v>
      </c>
      <c r="E13" s="9">
        <f>(E11+E12)*25</f>
        <v>875</v>
      </c>
      <c r="F13" s="10" t="s">
        <v>59</v>
      </c>
    </row>
    <row r="14" spans="2:6" ht="18" thickBot="1" x14ac:dyDescent="0.35">
      <c r="B14" s="11">
        <v>5</v>
      </c>
      <c r="C14" s="12" t="s">
        <v>11</v>
      </c>
      <c r="D14" s="13" t="s">
        <v>3</v>
      </c>
      <c r="E14" s="13">
        <f>E13*5</f>
        <v>4375</v>
      </c>
      <c r="F14" s="14" t="s">
        <v>12</v>
      </c>
    </row>
    <row r="15" spans="2:6" ht="18" thickBot="1" x14ac:dyDescent="0.35">
      <c r="C15" s="15" t="s">
        <v>16</v>
      </c>
      <c r="D15" s="16" t="s">
        <v>4</v>
      </c>
      <c r="E15" s="17">
        <f>E11+E12+E13+E14</f>
        <v>5285</v>
      </c>
    </row>
    <row r="18" spans="3:5" ht="17.25" thickBot="1" x14ac:dyDescent="0.35">
      <c r="C18" s="1" t="s">
        <v>18</v>
      </c>
    </row>
    <row r="19" spans="3:5" x14ac:dyDescent="0.3">
      <c r="C19" s="18" t="s">
        <v>19</v>
      </c>
      <c r="D19" s="19" t="s">
        <v>20</v>
      </c>
      <c r="E19" s="20" t="s">
        <v>21</v>
      </c>
    </row>
    <row r="20" spans="3:5" x14ac:dyDescent="0.3">
      <c r="C20" s="21" t="s">
        <v>23</v>
      </c>
      <c r="D20" s="22" t="s">
        <v>22</v>
      </c>
      <c r="E20" s="23">
        <v>640</v>
      </c>
    </row>
    <row r="21" spans="3:5" x14ac:dyDescent="0.3">
      <c r="C21" s="41" t="s">
        <v>57</v>
      </c>
      <c r="D21" s="42" t="s">
        <v>58</v>
      </c>
      <c r="E21" s="43">
        <v>100</v>
      </c>
    </row>
    <row r="22" spans="3:5" ht="17.25" thickBot="1" x14ac:dyDescent="0.35">
      <c r="C22" s="24" t="s">
        <v>24</v>
      </c>
      <c r="D22" s="25" t="s">
        <v>20</v>
      </c>
      <c r="E22" s="26">
        <v>8</v>
      </c>
    </row>
  </sheetData>
  <mergeCells count="1">
    <mergeCell ref="B3:F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07"/>
  <sheetViews>
    <sheetView tabSelected="1" zoomScale="50" zoomScaleNormal="50" workbookViewId="0">
      <selection activeCell="K46" sqref="K46:K47"/>
    </sheetView>
  </sheetViews>
  <sheetFormatPr defaultRowHeight="16.5" x14ac:dyDescent="0.3"/>
  <cols>
    <col min="2" max="2" width="6.5" customWidth="1"/>
    <col min="3" max="3" width="8.5" customWidth="1"/>
    <col min="4" max="4" width="13.125" customWidth="1"/>
    <col min="5" max="5" width="12.5" customWidth="1"/>
    <col min="6" max="6" width="11.875" customWidth="1"/>
    <col min="7" max="7" width="11.5" customWidth="1"/>
    <col min="8" max="8" width="8.5" customWidth="1"/>
    <col min="9" max="9" width="10.125" customWidth="1"/>
    <col min="10" max="10" width="13.375" customWidth="1"/>
    <col min="11" max="11" width="11.875" customWidth="1"/>
    <col min="12" max="12" width="11.25" customWidth="1"/>
    <col min="13" max="13" width="10.625" customWidth="1"/>
    <col min="14" max="15" width="12.75" customWidth="1"/>
    <col min="16" max="16" width="17.75" bestFit="1" customWidth="1"/>
    <col min="17" max="17" width="31.5" bestFit="1" customWidth="1"/>
    <col min="18" max="18" width="89" bestFit="1" customWidth="1"/>
    <col min="19" max="21" width="12.75" customWidth="1"/>
  </cols>
  <sheetData>
    <row r="3" spans="2:13" ht="29.25" x14ac:dyDescent="0.3">
      <c r="B3" s="29" t="s">
        <v>56</v>
      </c>
    </row>
    <row r="5" spans="2:13" ht="17.25" thickBot="1" x14ac:dyDescent="0.35"/>
    <row r="6" spans="2:13" ht="51" customHeight="1" x14ac:dyDescent="0.3">
      <c r="B6" s="30" t="s">
        <v>60</v>
      </c>
      <c r="C6" s="31" t="s">
        <v>25</v>
      </c>
      <c r="D6" s="31" t="s">
        <v>26</v>
      </c>
      <c r="E6" s="31" t="s">
        <v>27</v>
      </c>
      <c r="F6" s="31" t="s">
        <v>28</v>
      </c>
      <c r="G6" s="31" t="s">
        <v>61</v>
      </c>
      <c r="H6" s="31" t="s">
        <v>62</v>
      </c>
      <c r="I6" s="31" t="s">
        <v>63</v>
      </c>
      <c r="J6" s="31" t="s">
        <v>64</v>
      </c>
      <c r="K6" s="31" t="s">
        <v>29</v>
      </c>
      <c r="L6" s="31" t="s">
        <v>30</v>
      </c>
      <c r="M6" s="46" t="s">
        <v>31</v>
      </c>
    </row>
    <row r="7" spans="2:13" x14ac:dyDescent="0.3">
      <c r="B7" s="27">
        <v>1</v>
      </c>
      <c r="C7" s="2">
        <v>2107.52</v>
      </c>
      <c r="D7" s="2">
        <v>0.38846999999999998</v>
      </c>
      <c r="E7" s="2">
        <v>3.50325</v>
      </c>
      <c r="F7" s="2">
        <v>0.91490000000000005</v>
      </c>
      <c r="G7" s="2">
        <v>0.19930999999999999</v>
      </c>
      <c r="H7" s="2">
        <v>0.25972000000000001</v>
      </c>
      <c r="I7" s="2">
        <v>0.11214</v>
      </c>
      <c r="J7" s="2">
        <v>0.10771</v>
      </c>
      <c r="K7" s="2">
        <v>0.18289</v>
      </c>
      <c r="L7" s="2">
        <v>3.16038</v>
      </c>
      <c r="M7" s="47">
        <v>0.79790000000000005</v>
      </c>
    </row>
    <row r="8" spans="2:13" x14ac:dyDescent="0.3">
      <c r="B8" s="27">
        <v>2</v>
      </c>
      <c r="C8" s="2">
        <v>3404.17</v>
      </c>
      <c r="D8" s="2">
        <v>0.32264999999999999</v>
      </c>
      <c r="E8" s="2">
        <v>2.76064</v>
      </c>
      <c r="F8" s="2">
        <v>0.89700000000000002</v>
      </c>
      <c r="G8" s="2">
        <v>0.30068</v>
      </c>
      <c r="H8" s="2">
        <v>0.48366999999999999</v>
      </c>
      <c r="I8" s="2">
        <v>0.36130000000000001</v>
      </c>
      <c r="J8" s="2">
        <v>0.35843999999999998</v>
      </c>
      <c r="K8" s="2">
        <v>0.18190000000000001</v>
      </c>
      <c r="L8" s="2">
        <v>2.38531</v>
      </c>
      <c r="M8" s="47">
        <v>0.79400999999999999</v>
      </c>
    </row>
    <row r="9" spans="2:13" x14ac:dyDescent="0.3">
      <c r="B9" s="27">
        <v>3</v>
      </c>
      <c r="C9" s="2">
        <v>4507.03</v>
      </c>
      <c r="D9" s="2">
        <v>0.28659000000000001</v>
      </c>
      <c r="E9" s="2">
        <v>2.1060599999999998</v>
      </c>
      <c r="F9" s="2">
        <v>0.88378000000000001</v>
      </c>
      <c r="G9" s="2">
        <v>0.78034000000000003</v>
      </c>
      <c r="H9" s="2">
        <v>0.76366000000000001</v>
      </c>
      <c r="I9" s="2">
        <v>0.84465999999999997</v>
      </c>
      <c r="J9" s="2">
        <v>0.84019999999999995</v>
      </c>
      <c r="K9" s="2">
        <v>0.16550999999999999</v>
      </c>
      <c r="L9" s="2">
        <v>1.3957299999999999</v>
      </c>
      <c r="M9" s="47">
        <v>0.78769999999999996</v>
      </c>
    </row>
    <row r="10" spans="2:13" x14ac:dyDescent="0.3">
      <c r="B10" s="27">
        <v>4</v>
      </c>
      <c r="C10" s="2">
        <v>5556.06</v>
      </c>
      <c r="D10" s="2">
        <v>0.25479000000000002</v>
      </c>
      <c r="E10" s="2">
        <v>1.38242</v>
      </c>
      <c r="F10" s="2">
        <v>0.86484000000000005</v>
      </c>
      <c r="G10" s="2">
        <v>0.98272000000000004</v>
      </c>
      <c r="H10" s="2">
        <v>0.92454999999999998</v>
      </c>
      <c r="I10" s="2">
        <v>0.98536000000000001</v>
      </c>
      <c r="J10" s="2">
        <v>0.98336000000000001</v>
      </c>
      <c r="K10" s="2">
        <v>0.1424</v>
      </c>
      <c r="L10" s="2">
        <v>0.78349000000000002</v>
      </c>
      <c r="M10" s="47">
        <v>0.77747999999999995</v>
      </c>
    </row>
    <row r="11" spans="2:13" x14ac:dyDescent="0.3">
      <c r="B11" s="27">
        <v>5</v>
      </c>
      <c r="C11" s="2">
        <v>6606.93</v>
      </c>
      <c r="D11" s="2">
        <v>0.22917999999999999</v>
      </c>
      <c r="E11" s="2">
        <v>1.0163500000000001</v>
      </c>
      <c r="F11" s="2">
        <v>0.85036</v>
      </c>
      <c r="G11" s="2">
        <v>0.99261999999999995</v>
      </c>
      <c r="H11" s="2">
        <v>0.97316000000000003</v>
      </c>
      <c r="I11" s="2">
        <v>0.99441999999999997</v>
      </c>
      <c r="J11" s="2">
        <v>0.99294000000000004</v>
      </c>
      <c r="K11" s="2">
        <v>0.13353000000000001</v>
      </c>
      <c r="L11" s="2">
        <v>0.63810999999999996</v>
      </c>
      <c r="M11" s="47">
        <v>0.77459</v>
      </c>
    </row>
    <row r="12" spans="2:13" x14ac:dyDescent="0.3">
      <c r="B12" s="27">
        <v>6</v>
      </c>
      <c r="C12" s="2">
        <v>7653.55</v>
      </c>
      <c r="D12" s="2">
        <v>0.20891999999999999</v>
      </c>
      <c r="E12" s="2">
        <v>0.86221000000000003</v>
      </c>
      <c r="F12" s="2">
        <v>0.84523999999999999</v>
      </c>
      <c r="G12" s="2">
        <v>0.98997999999999997</v>
      </c>
      <c r="H12" s="2">
        <v>0.98551</v>
      </c>
      <c r="I12" s="2">
        <v>0.99480000000000002</v>
      </c>
      <c r="J12" s="2">
        <v>0.99343999999999999</v>
      </c>
      <c r="K12" s="2">
        <v>0.12205000000000001</v>
      </c>
      <c r="L12" s="2">
        <v>0.58474000000000004</v>
      </c>
      <c r="M12" s="47">
        <v>0.77041000000000004</v>
      </c>
    </row>
    <row r="13" spans="2:13" x14ac:dyDescent="0.3">
      <c r="B13" s="27">
        <v>7</v>
      </c>
      <c r="C13" s="2">
        <v>8702.44</v>
      </c>
      <c r="D13" s="2">
        <v>0.20058000000000001</v>
      </c>
      <c r="E13" s="2">
        <v>0.77944999999999998</v>
      </c>
      <c r="F13" s="2">
        <v>0.83840000000000003</v>
      </c>
      <c r="G13" s="2">
        <v>0.99541000000000002</v>
      </c>
      <c r="H13" s="2">
        <v>0.99521000000000004</v>
      </c>
      <c r="I13" s="2">
        <v>0.99497000000000002</v>
      </c>
      <c r="J13" s="2">
        <v>0.99339999999999995</v>
      </c>
      <c r="K13" s="2">
        <v>0.11756999999999999</v>
      </c>
      <c r="L13" s="2">
        <v>0.55118999999999996</v>
      </c>
      <c r="M13" s="47">
        <v>0.76761999999999997</v>
      </c>
    </row>
    <row r="14" spans="2:13" x14ac:dyDescent="0.3">
      <c r="B14" s="27">
        <v>8</v>
      </c>
      <c r="C14" s="2">
        <v>9761.77</v>
      </c>
      <c r="D14" s="2">
        <v>0.19123999999999999</v>
      </c>
      <c r="E14" s="2">
        <v>0.71245000000000003</v>
      </c>
      <c r="F14" s="2">
        <v>0.83733999999999997</v>
      </c>
      <c r="G14" s="2">
        <v>0.99441999999999997</v>
      </c>
      <c r="H14" s="2">
        <v>0.99497999999999998</v>
      </c>
      <c r="I14" s="2">
        <v>0.99492999999999998</v>
      </c>
      <c r="J14" s="2">
        <v>0.99370999999999998</v>
      </c>
      <c r="K14" s="2">
        <v>0.11377</v>
      </c>
      <c r="L14" s="2">
        <v>0.51556999999999997</v>
      </c>
      <c r="M14" s="47">
        <v>0.76568000000000003</v>
      </c>
    </row>
    <row r="15" spans="2:13" x14ac:dyDescent="0.3">
      <c r="B15" s="27">
        <v>9</v>
      </c>
      <c r="C15" s="2">
        <v>10810.6</v>
      </c>
      <c r="D15" s="2">
        <v>0.1837</v>
      </c>
      <c r="E15" s="2">
        <v>0.67305000000000004</v>
      </c>
      <c r="F15" s="2">
        <v>0.8327</v>
      </c>
      <c r="G15" s="2">
        <v>0.99841000000000002</v>
      </c>
      <c r="H15" s="2">
        <v>0.99829999999999997</v>
      </c>
      <c r="I15" s="2">
        <v>0.995</v>
      </c>
      <c r="J15" s="2">
        <v>0.99394000000000005</v>
      </c>
      <c r="K15" s="2">
        <v>0.10935</v>
      </c>
      <c r="L15" s="2">
        <v>0.49972</v>
      </c>
      <c r="M15" s="47">
        <v>0.76417000000000002</v>
      </c>
    </row>
    <row r="16" spans="2:13" x14ac:dyDescent="0.3">
      <c r="B16" s="27">
        <v>10</v>
      </c>
      <c r="C16" s="2">
        <v>11865.4</v>
      </c>
      <c r="D16" s="2">
        <v>0.17796999999999999</v>
      </c>
      <c r="E16" s="2">
        <v>0.64912000000000003</v>
      </c>
      <c r="F16" s="2">
        <v>0.83162000000000003</v>
      </c>
      <c r="G16" s="2">
        <v>0.99704999999999999</v>
      </c>
      <c r="H16" s="2">
        <v>0.99921000000000004</v>
      </c>
      <c r="I16" s="2">
        <v>0.995</v>
      </c>
      <c r="J16" s="2">
        <v>0.99412</v>
      </c>
      <c r="K16" s="2">
        <v>0.10508000000000001</v>
      </c>
      <c r="L16" s="2">
        <v>0.49730999999999997</v>
      </c>
      <c r="M16" s="47">
        <v>0.76263000000000003</v>
      </c>
    </row>
    <row r="17" spans="2:13" x14ac:dyDescent="0.3">
      <c r="B17" s="27">
        <v>11</v>
      </c>
      <c r="C17" s="2">
        <v>12878.5</v>
      </c>
      <c r="D17" s="2">
        <v>0.12429999999999999</v>
      </c>
      <c r="E17" s="2">
        <v>0.60206000000000004</v>
      </c>
      <c r="F17" s="2">
        <v>0.77385000000000004</v>
      </c>
      <c r="G17" s="2">
        <v>0.99865000000000004</v>
      </c>
      <c r="H17" s="2">
        <v>0.99817999999999996</v>
      </c>
      <c r="I17" s="2">
        <v>0.995</v>
      </c>
      <c r="J17" s="2">
        <v>0.99461999999999995</v>
      </c>
      <c r="K17" s="2">
        <v>0.10355</v>
      </c>
      <c r="L17" s="2">
        <v>0.45633000000000001</v>
      </c>
      <c r="M17" s="47">
        <v>0.75939000000000001</v>
      </c>
    </row>
    <row r="18" spans="2:13" x14ac:dyDescent="0.3">
      <c r="B18" s="27">
        <v>12</v>
      </c>
      <c r="C18" s="2">
        <v>13893.9</v>
      </c>
      <c r="D18" s="2">
        <v>0.11634</v>
      </c>
      <c r="E18" s="2">
        <v>0.56369999999999998</v>
      </c>
      <c r="F18" s="2">
        <v>0.77156000000000002</v>
      </c>
      <c r="G18" s="2">
        <v>0.99933000000000005</v>
      </c>
      <c r="H18" s="2">
        <v>0.99963999999999997</v>
      </c>
      <c r="I18" s="2">
        <v>0.995</v>
      </c>
      <c r="J18" s="2">
        <v>0.99446000000000001</v>
      </c>
      <c r="K18" s="2">
        <v>0.10073</v>
      </c>
      <c r="L18" s="2">
        <v>0.43414000000000003</v>
      </c>
      <c r="M18" s="47">
        <v>0.75824999999999998</v>
      </c>
    </row>
    <row r="19" spans="2:13" x14ac:dyDescent="0.3">
      <c r="B19" s="27">
        <v>13</v>
      </c>
      <c r="C19" s="2">
        <v>14910.7</v>
      </c>
      <c r="D19" s="2">
        <v>0.1116</v>
      </c>
      <c r="E19" s="2">
        <v>0.53627000000000002</v>
      </c>
      <c r="F19" s="2">
        <v>0.76963000000000004</v>
      </c>
      <c r="G19" s="2">
        <v>0.99955000000000005</v>
      </c>
      <c r="H19" s="2">
        <v>1</v>
      </c>
      <c r="I19" s="2">
        <v>0.995</v>
      </c>
      <c r="J19" s="2">
        <v>0.99478</v>
      </c>
      <c r="K19" s="2">
        <v>9.6460000000000004E-2</v>
      </c>
      <c r="L19" s="2">
        <v>0.42000999999999999</v>
      </c>
      <c r="M19" s="47">
        <v>0.75690999999999997</v>
      </c>
    </row>
    <row r="20" spans="2:13" x14ac:dyDescent="0.3">
      <c r="B20" s="27">
        <v>14</v>
      </c>
      <c r="C20" s="2">
        <v>15924</v>
      </c>
      <c r="D20" s="2">
        <v>0.10797</v>
      </c>
      <c r="E20" s="2">
        <v>0.51742999999999995</v>
      </c>
      <c r="F20" s="2">
        <v>0.76954999999999996</v>
      </c>
      <c r="G20" s="2">
        <v>0.99917999999999996</v>
      </c>
      <c r="H20" s="2">
        <v>1</v>
      </c>
      <c r="I20" s="2">
        <v>0.995</v>
      </c>
      <c r="J20" s="2">
        <v>0.99490000000000001</v>
      </c>
      <c r="K20" s="2">
        <v>9.1759999999999994E-2</v>
      </c>
      <c r="L20" s="2">
        <v>0.40472999999999998</v>
      </c>
      <c r="M20" s="47">
        <v>0.75582000000000005</v>
      </c>
    </row>
    <row r="21" spans="2:13" x14ac:dyDescent="0.3">
      <c r="B21" s="27">
        <v>15</v>
      </c>
      <c r="C21" s="2">
        <v>16937.599999999999</v>
      </c>
      <c r="D21" s="2">
        <v>0.10374</v>
      </c>
      <c r="E21" s="2">
        <v>0.49901000000000001</v>
      </c>
      <c r="F21" s="2">
        <v>0.76981999999999995</v>
      </c>
      <c r="G21" s="2">
        <v>0.99953000000000003</v>
      </c>
      <c r="H21" s="2">
        <v>1</v>
      </c>
      <c r="I21" s="2">
        <v>0.995</v>
      </c>
      <c r="J21" s="2">
        <v>0.99487999999999999</v>
      </c>
      <c r="K21" s="2">
        <v>8.7999999999999995E-2</v>
      </c>
      <c r="L21" s="2">
        <v>0.38657999999999998</v>
      </c>
      <c r="M21" s="47">
        <v>0.75495000000000001</v>
      </c>
    </row>
    <row r="22" spans="2:13" x14ac:dyDescent="0.3">
      <c r="B22" s="27">
        <v>16</v>
      </c>
      <c r="C22" s="2">
        <v>17957.5</v>
      </c>
      <c r="D22" s="2">
        <v>0.10009</v>
      </c>
      <c r="E22" s="2">
        <v>0.48352000000000001</v>
      </c>
      <c r="F22" s="2">
        <v>0.76841999999999999</v>
      </c>
      <c r="G22" s="2">
        <v>0.99965999999999999</v>
      </c>
      <c r="H22" s="2">
        <v>1</v>
      </c>
      <c r="I22" s="2">
        <v>0.995</v>
      </c>
      <c r="J22" s="2">
        <v>0.99489000000000005</v>
      </c>
      <c r="K22" s="2">
        <v>8.5440000000000002E-2</v>
      </c>
      <c r="L22" s="2">
        <v>0.38053999999999999</v>
      </c>
      <c r="M22" s="47">
        <v>0.75446999999999997</v>
      </c>
    </row>
    <row r="23" spans="2:13" x14ac:dyDescent="0.3">
      <c r="B23" s="27">
        <v>17</v>
      </c>
      <c r="C23" s="2">
        <v>18964.2</v>
      </c>
      <c r="D23" s="2">
        <v>9.8809999999999995E-2</v>
      </c>
      <c r="E23" s="2">
        <v>0.47445999999999999</v>
      </c>
      <c r="F23" s="2">
        <v>0.76507999999999998</v>
      </c>
      <c r="G23" s="2">
        <v>0.99950000000000006</v>
      </c>
      <c r="H23" s="2">
        <v>1</v>
      </c>
      <c r="I23" s="2">
        <v>0.995</v>
      </c>
      <c r="J23" s="2">
        <v>0.99490000000000001</v>
      </c>
      <c r="K23" s="2">
        <v>8.4260000000000002E-2</v>
      </c>
      <c r="L23" s="2">
        <v>0.37304999999999999</v>
      </c>
      <c r="M23" s="47">
        <v>0.75461999999999996</v>
      </c>
    </row>
    <row r="24" spans="2:13" x14ac:dyDescent="0.3">
      <c r="B24" s="27">
        <v>18</v>
      </c>
      <c r="C24" s="2">
        <v>19975.2</v>
      </c>
      <c r="D24" s="2">
        <v>9.5259999999999997E-2</v>
      </c>
      <c r="E24" s="2">
        <v>0.46666999999999997</v>
      </c>
      <c r="F24" s="2">
        <v>0.76515</v>
      </c>
      <c r="G24" s="2">
        <v>0.99956999999999996</v>
      </c>
      <c r="H24" s="2">
        <v>1</v>
      </c>
      <c r="I24" s="2">
        <v>0.995</v>
      </c>
      <c r="J24" s="2">
        <v>0.99483999999999995</v>
      </c>
      <c r="K24" s="2">
        <v>8.2799999999999999E-2</v>
      </c>
      <c r="L24" s="2">
        <v>0.36758999999999997</v>
      </c>
      <c r="M24" s="47">
        <v>0.75407999999999997</v>
      </c>
    </row>
    <row r="25" spans="2:13" x14ac:dyDescent="0.3">
      <c r="B25" s="27">
        <v>19</v>
      </c>
      <c r="C25" s="2">
        <v>20985.9</v>
      </c>
      <c r="D25" s="2">
        <v>9.3299999999999994E-2</v>
      </c>
      <c r="E25" s="2">
        <v>0.46038000000000001</v>
      </c>
      <c r="F25" s="2">
        <v>0.76317000000000002</v>
      </c>
      <c r="G25" s="2">
        <v>0.99948000000000004</v>
      </c>
      <c r="H25" s="2">
        <v>0.99994000000000005</v>
      </c>
      <c r="I25" s="2">
        <v>0.995</v>
      </c>
      <c r="J25" s="2">
        <v>0.99489000000000005</v>
      </c>
      <c r="K25" s="2">
        <v>8.1659999999999996E-2</v>
      </c>
      <c r="L25" s="2">
        <v>0.36387000000000003</v>
      </c>
      <c r="M25" s="47">
        <v>0.75387999999999999</v>
      </c>
    </row>
    <row r="26" spans="2:13" ht="17.25" thickBot="1" x14ac:dyDescent="0.35">
      <c r="B26" s="28">
        <v>20</v>
      </c>
      <c r="C26" s="3">
        <v>21993.200000000001</v>
      </c>
      <c r="D26" s="3">
        <v>9.0450000000000003E-2</v>
      </c>
      <c r="E26" s="3">
        <v>0.45627000000000001</v>
      </c>
      <c r="F26" s="3">
        <v>0.76626000000000005</v>
      </c>
      <c r="G26" s="3">
        <v>0.99965000000000004</v>
      </c>
      <c r="H26" s="3">
        <v>1</v>
      </c>
      <c r="I26" s="3">
        <v>0.995</v>
      </c>
      <c r="J26" s="3">
        <v>0.99489000000000005</v>
      </c>
      <c r="K26" s="3">
        <v>7.8420000000000004E-2</v>
      </c>
      <c r="L26" s="3">
        <v>0.35838999999999999</v>
      </c>
      <c r="M26" s="48">
        <v>0.75360000000000005</v>
      </c>
    </row>
    <row r="27" spans="2:13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</row>
    <row r="28" spans="2:13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2:13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 spans="2:13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2:13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2:13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2:18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2:18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2:18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2:18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2:18" ht="17.25" thickBot="1" x14ac:dyDescent="0.35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2:18" ht="17.25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O38" s="32">
        <v>1</v>
      </c>
      <c r="P38" s="33" t="s">
        <v>32</v>
      </c>
      <c r="Q38" s="33" t="s">
        <v>43</v>
      </c>
      <c r="R38" s="34" t="s">
        <v>42</v>
      </c>
    </row>
    <row r="39" spans="2:18" ht="17.25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O39" s="35">
        <v>2</v>
      </c>
      <c r="P39" s="36" t="s">
        <v>33</v>
      </c>
      <c r="Q39" s="36" t="s">
        <v>44</v>
      </c>
      <c r="R39" s="37" t="s">
        <v>45</v>
      </c>
    </row>
    <row r="40" spans="2:18" ht="17.25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O40" s="35">
        <v>3</v>
      </c>
      <c r="P40" s="36" t="s">
        <v>34</v>
      </c>
      <c r="Q40" s="36" t="s">
        <v>50</v>
      </c>
      <c r="R40" s="37" t="s">
        <v>49</v>
      </c>
    </row>
    <row r="41" spans="2:18" ht="17.25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O41" s="35">
        <v>4</v>
      </c>
      <c r="P41" s="36" t="s">
        <v>35</v>
      </c>
      <c r="Q41" s="36" t="s">
        <v>46</v>
      </c>
      <c r="R41" s="37" t="s">
        <v>47</v>
      </c>
    </row>
    <row r="42" spans="2:18" ht="17.25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O42" s="35">
        <v>5</v>
      </c>
      <c r="P42" s="36" t="s">
        <v>36</v>
      </c>
      <c r="Q42" s="36" t="s">
        <v>48</v>
      </c>
      <c r="R42" s="37" t="s">
        <v>53</v>
      </c>
    </row>
    <row r="43" spans="2:18" ht="17.25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O43" s="35">
        <v>6</v>
      </c>
      <c r="P43" s="36" t="s">
        <v>37</v>
      </c>
      <c r="Q43" s="36" t="s">
        <v>43</v>
      </c>
      <c r="R43" s="37" t="s">
        <v>42</v>
      </c>
    </row>
    <row r="44" spans="2:18" ht="17.25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O44" s="35">
        <v>7</v>
      </c>
      <c r="P44" s="36" t="s">
        <v>38</v>
      </c>
      <c r="Q44" s="36" t="s">
        <v>44</v>
      </c>
      <c r="R44" s="37" t="s">
        <v>45</v>
      </c>
    </row>
    <row r="45" spans="2:18" ht="17.25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O45" s="35">
        <v>8</v>
      </c>
      <c r="P45" s="36" t="s">
        <v>39</v>
      </c>
      <c r="Q45" s="36" t="s">
        <v>50</v>
      </c>
      <c r="R45" s="37" t="s">
        <v>49</v>
      </c>
    </row>
    <row r="46" spans="2:18" ht="17.25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O46" s="35">
        <v>9</v>
      </c>
      <c r="P46" s="36" t="s">
        <v>40</v>
      </c>
      <c r="Q46" s="36" t="s">
        <v>51</v>
      </c>
      <c r="R46" s="37" t="s">
        <v>54</v>
      </c>
    </row>
    <row r="47" spans="2:18" ht="18" thickBot="1" x14ac:dyDescent="0.3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O47" s="38">
        <v>10</v>
      </c>
      <c r="P47" s="39" t="s">
        <v>41</v>
      </c>
      <c r="Q47" s="39" t="s">
        <v>52</v>
      </c>
      <c r="R47" s="40" t="s">
        <v>55</v>
      </c>
    </row>
    <row r="48" spans="2:18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2:13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2:13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2:13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2:13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</row>
    <row r="53" spans="2:13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</row>
    <row r="54" spans="2:13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</row>
    <row r="55" spans="2:13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</row>
    <row r="56" spans="2:13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</row>
    <row r="57" spans="2:13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2:13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2:13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2:13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2:13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2:13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</row>
    <row r="63" spans="2:13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2:13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</row>
    <row r="65" spans="2:13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</row>
    <row r="66" spans="2:13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</row>
    <row r="67" spans="2:13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</row>
    <row r="68" spans="2:13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</row>
    <row r="69" spans="2:13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</row>
    <row r="70" spans="2:13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</row>
    <row r="71" spans="2:13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</row>
    <row r="72" spans="2:13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</row>
    <row r="73" spans="2:13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</row>
    <row r="74" spans="2:13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</row>
    <row r="75" spans="2:13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</row>
    <row r="76" spans="2:13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</row>
    <row r="77" spans="2:13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</row>
    <row r="78" spans="2:13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</row>
    <row r="79" spans="2:13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</row>
    <row r="80" spans="2:13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</row>
    <row r="81" spans="2:13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</row>
    <row r="82" spans="2:13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</row>
    <row r="83" spans="2:13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</row>
    <row r="84" spans="2:13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</row>
    <row r="85" spans="2:13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</row>
    <row r="86" spans="2:13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</row>
    <row r="87" spans="2:13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</row>
    <row r="88" spans="2:13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</row>
    <row r="89" spans="2:13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</row>
    <row r="90" spans="2:13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</row>
    <row r="91" spans="2:13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</row>
    <row r="92" spans="2:13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</row>
    <row r="93" spans="2:13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</row>
    <row r="94" spans="2:13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</row>
    <row r="95" spans="2:13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</row>
    <row r="96" spans="2:13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</row>
    <row r="97" spans="2:13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</row>
    <row r="98" spans="2:13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</row>
    <row r="99" spans="2:13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</row>
    <row r="100" spans="2:13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</row>
    <row r="101" spans="2:13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</row>
    <row r="102" spans="2:13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</row>
    <row r="103" spans="2:13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</row>
    <row r="104" spans="2:13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</row>
    <row r="105" spans="2:13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</row>
    <row r="106" spans="2:13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</row>
    <row r="107" spans="2:13" x14ac:dyDescent="0.3">
      <c r="C107">
        <f>C106/3600</f>
        <v>0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GNERAL INFORMATION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2026-01-22T06:47:50Z</dcterms:created>
  <dcterms:modified xsi:type="dcterms:W3CDTF">2026-02-13T04:44:52Z</dcterms:modified>
</cp:coreProperties>
</file>