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 Marker\"/>
    </mc:Choice>
  </mc:AlternateContent>
  <bookViews>
    <workbookView xWindow="0" yWindow="0" windowWidth="28770" windowHeight="175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1" l="1"/>
  <c r="D35" i="1"/>
  <c r="D15" i="1"/>
  <c r="D8" i="1" l="1"/>
</calcChain>
</file>

<file path=xl/sharedStrings.xml><?xml version="1.0" encoding="utf-8"?>
<sst xmlns="http://schemas.openxmlformats.org/spreadsheetml/2006/main" count="35" uniqueCount="25">
  <si>
    <t>total</t>
    <phoneticPr fontId="1" type="noConversion"/>
  </si>
  <si>
    <t>YOLOv8m</t>
  </si>
  <si>
    <t>YOLOv8m</t>
    <phoneticPr fontId="1" type="noConversion"/>
  </si>
  <si>
    <t>OPENCV</t>
    <phoneticPr fontId="1" type="noConversion"/>
  </si>
  <si>
    <t>Wrong Detected</t>
    <phoneticPr fontId="1" type="noConversion"/>
  </si>
  <si>
    <t>Correct Detected</t>
    <phoneticPr fontId="1" type="noConversion"/>
  </si>
  <si>
    <t>Metode</t>
  </si>
  <si>
    <t>Total</t>
  </si>
  <si>
    <t>OpenCV</t>
  </si>
  <si>
    <t>Undetected</t>
    <phoneticPr fontId="1" type="noConversion"/>
  </si>
  <si>
    <t>Undetected</t>
    <phoneticPr fontId="1" type="noConversion"/>
  </si>
  <si>
    <t>Detected</t>
    <phoneticPr fontId="1" type="noConversion"/>
  </si>
  <si>
    <t>Recognized</t>
  </si>
  <si>
    <t>Detected</t>
    <phoneticPr fontId="1" type="noConversion"/>
  </si>
  <si>
    <t>Correct</t>
    <phoneticPr fontId="1" type="noConversion"/>
  </si>
  <si>
    <t>Incorrect</t>
    <phoneticPr fontId="1" type="noConversion"/>
  </si>
  <si>
    <t>marker</t>
    <phoneticPr fontId="1" type="noConversion"/>
  </si>
  <si>
    <t>no marker</t>
    <phoneticPr fontId="1" type="noConversion"/>
  </si>
  <si>
    <t>Correct ID</t>
    <phoneticPr fontId="1" type="noConversion"/>
  </si>
  <si>
    <t>Incorrect ID</t>
    <phoneticPr fontId="1" type="noConversion"/>
  </si>
  <si>
    <t>Real Dataset</t>
    <phoneticPr fontId="1" type="noConversion"/>
  </si>
  <si>
    <t>DeepTag</t>
    <phoneticPr fontId="1" type="noConversion"/>
  </si>
  <si>
    <t>DeepAruCo</t>
    <phoneticPr fontId="1" type="noConversion"/>
  </si>
  <si>
    <t>DeepTag</t>
    <phoneticPr fontId="1" type="noConversion"/>
  </si>
  <si>
    <t>DeepAruco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</si>
</sst>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altLang="ko-KR"/>
              <a:t>Open</a:t>
            </a:r>
            <a:r>
              <a:rPr lang="id-ID" altLang="ko-KR" baseline="0"/>
              <a:t>CV Detection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5E-41FA-A068-909ED23094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5E-41FA-A068-909ED23094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5E-41FA-A068-909ED23094B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Sheet1!$C$21:$C$23</c:f>
              <c:strCache>
                <c:ptCount val="3"/>
                <c:pt idx="0">
                  <c:v>Undetected</c:v>
                </c:pt>
                <c:pt idx="1">
                  <c:v>Wrong Detected</c:v>
                </c:pt>
                <c:pt idx="2">
                  <c:v>Correct Detected</c:v>
                </c:pt>
              </c:strCache>
            </c:strRef>
          </c:cat>
          <c:val>
            <c:numRef>
              <c:f>Sheet1!$D$21:$D$23</c:f>
              <c:numCache>
                <c:formatCode>General</c:formatCode>
                <c:ptCount val="3"/>
                <c:pt idx="0">
                  <c:v>411</c:v>
                </c:pt>
                <c:pt idx="1">
                  <c:v>0</c:v>
                </c:pt>
                <c:pt idx="2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5-4E11-8CE5-DF1639E1B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altLang="ko-KR"/>
              <a:t>YOLOv8m Detection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3B-44E1-AD21-02A18FC742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3B-44E1-AD21-02A18FC7421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(Sheet1!$C$13,Sheet1!$C$15)</c:f>
              <c:strCache>
                <c:ptCount val="2"/>
                <c:pt idx="0">
                  <c:v>Undetected</c:v>
                </c:pt>
                <c:pt idx="1">
                  <c:v>Detected</c:v>
                </c:pt>
              </c:strCache>
            </c:strRef>
          </c:cat>
          <c:val>
            <c:numRef>
              <c:f>(Sheet1!$D$13,Sheet1!$D$15)</c:f>
              <c:numCache>
                <c:formatCode>General</c:formatCode>
                <c:ptCount val="2"/>
                <c:pt idx="0">
                  <c:v>176</c:v>
                </c:pt>
                <c:pt idx="1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8-4049-8CB5-76DBB4A24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altLang="ko-KR"/>
              <a:t>YOLOv8m Detection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CA-4DC6-8EF7-345B9B3C2D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CA-4DC6-8EF7-345B9B3C2D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CA-4DC6-8EF7-345B9B3C2D0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(Sheet1!$C$14,Sheet1!$C$16:$C$17)</c:f>
              <c:strCache>
                <c:ptCount val="3"/>
                <c:pt idx="0">
                  <c:v>Wrong Detected</c:v>
                </c:pt>
                <c:pt idx="1">
                  <c:v>Correct</c:v>
                </c:pt>
                <c:pt idx="2">
                  <c:v>Incorrect</c:v>
                </c:pt>
              </c:strCache>
            </c:strRef>
          </c:cat>
          <c:val>
            <c:numRef>
              <c:f>(Sheet1!$D$14,Sheet1!$D$16:$D$17)</c:f>
              <c:numCache>
                <c:formatCode>General</c:formatCode>
                <c:ptCount val="3"/>
                <c:pt idx="0">
                  <c:v>121</c:v>
                </c:pt>
                <c:pt idx="1">
                  <c:v>253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A-4D4F-9AA2-2E176AF63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altLang="ko-KR" sz="1400" b="1" i="0" u="none" strike="noStrike" baseline="0">
                <a:effectLst/>
              </a:rPr>
              <a:t>DeepTag</a:t>
            </a:r>
            <a:r>
              <a:rPr lang="en-US" altLang="ko-KR" sz="1400" b="1" i="0" u="none" strike="noStrike" baseline="0">
                <a:effectLst/>
              </a:rPr>
              <a:t> Detection</a:t>
            </a:r>
            <a:r>
              <a:rPr lang="id-ID" altLang="ko-KR" sz="1400" b="0" i="0" u="none" strike="noStrike" baseline="0"/>
              <a:t> 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66-4E48-B5F6-A7B402E666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566-4E48-B5F6-A7B402E6665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Sheet1!$C$27:$C$29</c:f>
              <c:strCache>
                <c:ptCount val="3"/>
                <c:pt idx="0">
                  <c:v>Undetected</c:v>
                </c:pt>
                <c:pt idx="1">
                  <c:v>Wrong Detected</c:v>
                </c:pt>
                <c:pt idx="2">
                  <c:v>Detected</c:v>
                </c:pt>
              </c:strCache>
            </c:strRef>
          </c:cat>
          <c:val>
            <c:numRef>
              <c:f>Sheet1!$D$27:$D$29</c:f>
              <c:numCache>
                <c:formatCode>General</c:formatCode>
                <c:ptCount val="3"/>
                <c:pt idx="0">
                  <c:v>479</c:v>
                </c:pt>
                <c:pt idx="1">
                  <c:v>0</c:v>
                </c:pt>
                <c:pt idx="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6-4E48-B5F6-A7B402E6665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26079</xdr:colOff>
      <xdr:row>4</xdr:row>
      <xdr:rowOff>681</xdr:rowOff>
    </xdr:from>
    <xdr:to>
      <xdr:col>24</xdr:col>
      <xdr:colOff>317499</xdr:colOff>
      <xdr:row>15</xdr:row>
      <xdr:rowOff>79375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3255</xdr:colOff>
      <xdr:row>15</xdr:row>
      <xdr:rowOff>207748</xdr:rowOff>
    </xdr:from>
    <xdr:to>
      <xdr:col>24</xdr:col>
      <xdr:colOff>468716</xdr:colOff>
      <xdr:row>28</xdr:row>
      <xdr:rowOff>209335</xdr:rowOff>
    </xdr:to>
    <xdr:graphicFrame macro="">
      <xdr:nvGraphicFramePr>
        <xdr:cNvPr id="8" name="차트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535394</xdr:colOff>
      <xdr:row>15</xdr:row>
      <xdr:rowOff>198767</xdr:rowOff>
    </xdr:from>
    <xdr:to>
      <xdr:col>31</xdr:col>
      <xdr:colOff>309969</xdr:colOff>
      <xdr:row>29</xdr:row>
      <xdr:rowOff>7944</xdr:rowOff>
    </xdr:to>
    <xdr:graphicFrame macro="">
      <xdr:nvGraphicFramePr>
        <xdr:cNvPr id="9" name="차트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7469</xdr:colOff>
      <xdr:row>30</xdr:row>
      <xdr:rowOff>3757</xdr:rowOff>
    </xdr:from>
    <xdr:to>
      <xdr:col>24</xdr:col>
      <xdr:colOff>8073</xdr:colOff>
      <xdr:row>39</xdr:row>
      <xdr:rowOff>137226</xdr:rowOff>
    </xdr:to>
    <xdr:graphicFrame macro="">
      <xdr:nvGraphicFramePr>
        <xdr:cNvPr id="10" name="차트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R37"/>
  <sheetViews>
    <sheetView tabSelected="1" zoomScale="118" zoomScaleNormal="118" workbookViewId="0">
      <selection activeCell="J14" sqref="J14"/>
    </sheetView>
  </sheetViews>
  <sheetFormatPr defaultRowHeight="16.5" x14ac:dyDescent="0.3"/>
  <cols>
    <col min="3" max="3" width="16.625" bestFit="1" customWidth="1"/>
    <col min="8" max="8" width="16.625" bestFit="1" customWidth="1"/>
    <col min="13" max="13" width="11.125" bestFit="1" customWidth="1"/>
    <col min="15" max="15" width="14.125" customWidth="1"/>
    <col min="16" max="16" width="12.5" customWidth="1"/>
    <col min="17" max="17" width="14" customWidth="1"/>
    <col min="18" max="18" width="12.875" customWidth="1"/>
  </cols>
  <sheetData>
    <row r="4" spans="3:18" ht="17.25" thickBot="1" x14ac:dyDescent="0.35"/>
    <row r="5" spans="3:18" ht="16.5" customHeight="1" x14ac:dyDescent="0.3">
      <c r="M5" s="7" t="s">
        <v>6</v>
      </c>
      <c r="N5" s="6" t="s">
        <v>7</v>
      </c>
      <c r="O5" s="4" t="s">
        <v>10</v>
      </c>
      <c r="P5" s="6" t="s">
        <v>11</v>
      </c>
      <c r="Q5" s="4" t="s">
        <v>12</v>
      </c>
      <c r="R5" s="5"/>
    </row>
    <row r="6" spans="3:18" ht="17.25" thickBot="1" x14ac:dyDescent="0.35">
      <c r="C6" s="8" t="s">
        <v>20</v>
      </c>
      <c r="M6" s="18"/>
      <c r="N6" s="19"/>
      <c r="O6" s="20"/>
      <c r="P6" s="19"/>
      <c r="Q6" s="21" t="s">
        <v>18</v>
      </c>
      <c r="R6" s="22" t="s">
        <v>19</v>
      </c>
    </row>
    <row r="7" spans="3:18" x14ac:dyDescent="0.3">
      <c r="C7" t="s">
        <v>0</v>
      </c>
      <c r="D7">
        <v>619</v>
      </c>
      <c r="M7" s="15" t="s">
        <v>1</v>
      </c>
      <c r="N7" s="16">
        <v>619</v>
      </c>
      <c r="O7" s="16">
        <v>176</v>
      </c>
      <c r="P7" s="16">
        <v>443</v>
      </c>
      <c r="Q7" s="16">
        <v>253</v>
      </c>
      <c r="R7" s="17">
        <v>69</v>
      </c>
    </row>
    <row r="8" spans="3:18" x14ac:dyDescent="0.3">
      <c r="C8" t="s">
        <v>16</v>
      </c>
      <c r="D8">
        <f>D7-D9</f>
        <v>566</v>
      </c>
      <c r="M8" s="2" t="s">
        <v>8</v>
      </c>
      <c r="N8" s="1">
        <v>619</v>
      </c>
      <c r="O8" s="1">
        <v>411</v>
      </c>
      <c r="P8" s="1">
        <v>208</v>
      </c>
      <c r="Q8" s="1">
        <v>208</v>
      </c>
      <c r="R8" s="3">
        <v>0</v>
      </c>
    </row>
    <row r="9" spans="3:18" x14ac:dyDescent="0.3">
      <c r="C9" t="s">
        <v>17</v>
      </c>
      <c r="D9">
        <v>53</v>
      </c>
      <c r="M9" s="10" t="s">
        <v>23</v>
      </c>
      <c r="N9" s="9">
        <v>619</v>
      </c>
      <c r="O9" s="9">
        <v>479</v>
      </c>
      <c r="P9" s="9">
        <v>140</v>
      </c>
      <c r="Q9" s="9">
        <v>140</v>
      </c>
      <c r="R9" s="11">
        <v>0</v>
      </c>
    </row>
    <row r="10" spans="3:18" ht="17.25" thickBot="1" x14ac:dyDescent="0.35">
      <c r="M10" s="12" t="s">
        <v>24</v>
      </c>
      <c r="N10" s="13">
        <v>619</v>
      </c>
      <c r="O10" s="13">
        <v>334</v>
      </c>
      <c r="P10" s="13">
        <v>285</v>
      </c>
      <c r="Q10" s="13">
        <v>232</v>
      </c>
      <c r="R10" s="14">
        <v>53</v>
      </c>
    </row>
    <row r="12" spans="3:18" x14ac:dyDescent="0.3">
      <c r="C12" s="8" t="s">
        <v>2</v>
      </c>
    </row>
    <row r="13" spans="3:18" x14ac:dyDescent="0.3">
      <c r="C13" t="s">
        <v>9</v>
      </c>
      <c r="D13">
        <v>176</v>
      </c>
    </row>
    <row r="14" spans="3:18" x14ac:dyDescent="0.3">
      <c r="C14" t="s">
        <v>4</v>
      </c>
      <c r="D14">
        <v>121</v>
      </c>
    </row>
    <row r="15" spans="3:18" x14ac:dyDescent="0.3">
      <c r="C15" t="s">
        <v>13</v>
      </c>
      <c r="D15">
        <f>D7-D13</f>
        <v>443</v>
      </c>
    </row>
    <row r="16" spans="3:18" x14ac:dyDescent="0.3">
      <c r="C16" t="s">
        <v>14</v>
      </c>
      <c r="D16">
        <v>253</v>
      </c>
    </row>
    <row r="17" spans="3:4" x14ac:dyDescent="0.3">
      <c r="C17" t="s">
        <v>15</v>
      </c>
      <c r="D17">
        <v>69</v>
      </c>
    </row>
    <row r="20" spans="3:4" x14ac:dyDescent="0.3">
      <c r="C20" s="8" t="s">
        <v>3</v>
      </c>
    </row>
    <row r="21" spans="3:4" x14ac:dyDescent="0.3">
      <c r="C21" t="s">
        <v>9</v>
      </c>
      <c r="D21">
        <v>411</v>
      </c>
    </row>
    <row r="22" spans="3:4" x14ac:dyDescent="0.3">
      <c r="C22" t="s">
        <v>4</v>
      </c>
      <c r="D22">
        <v>0</v>
      </c>
    </row>
    <row r="23" spans="3:4" x14ac:dyDescent="0.3">
      <c r="C23" t="s">
        <v>5</v>
      </c>
      <c r="D23">
        <v>208</v>
      </c>
    </row>
    <row r="26" spans="3:4" x14ac:dyDescent="0.3">
      <c r="C26" s="8" t="s">
        <v>21</v>
      </c>
    </row>
    <row r="27" spans="3:4" x14ac:dyDescent="0.3">
      <c r="C27" t="s">
        <v>9</v>
      </c>
      <c r="D27">
        <v>479</v>
      </c>
    </row>
    <row r="28" spans="3:4" x14ac:dyDescent="0.3">
      <c r="C28" t="s">
        <v>4</v>
      </c>
      <c r="D28">
        <v>0</v>
      </c>
    </row>
    <row r="29" spans="3:4" x14ac:dyDescent="0.3">
      <c r="C29" t="s">
        <v>11</v>
      </c>
      <c r="D29">
        <v>140</v>
      </c>
    </row>
    <row r="32" spans="3:4" x14ac:dyDescent="0.3">
      <c r="C32" s="8" t="s">
        <v>22</v>
      </c>
    </row>
    <row r="33" spans="3:4" x14ac:dyDescent="0.3">
      <c r="C33" t="s">
        <v>9</v>
      </c>
      <c r="D33">
        <v>334</v>
      </c>
    </row>
    <row r="34" spans="3:4" x14ac:dyDescent="0.3">
      <c r="C34" t="s">
        <v>4</v>
      </c>
    </row>
    <row r="35" spans="3:4" x14ac:dyDescent="0.3">
      <c r="C35" t="s">
        <v>11</v>
      </c>
      <c r="D35">
        <f>D7-D33</f>
        <v>285</v>
      </c>
    </row>
    <row r="36" spans="3:4" x14ac:dyDescent="0.3">
      <c r="C36" t="s">
        <v>14</v>
      </c>
      <c r="D36">
        <f>D35-D37</f>
        <v>232</v>
      </c>
    </row>
    <row r="37" spans="3:4" x14ac:dyDescent="0.3">
      <c r="C37" t="s">
        <v>15</v>
      </c>
      <c r="D37">
        <v>53</v>
      </c>
    </row>
  </sheetData>
  <mergeCells count="5">
    <mergeCell ref="Q5:R5"/>
    <mergeCell ref="O5:O6"/>
    <mergeCell ref="P5:P6"/>
    <mergeCell ref="N5:N6"/>
    <mergeCell ref="M5:M6"/>
  </mergeCells>
  <phoneticPr fontId="1" type="noConversion"/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Sheet1!C33:C33</xm:f>
              <xm:sqref>D33</xm:sqref>
            </x14:sparkline>
            <x14:sparkline>
              <xm:f>Sheet1!C34:C34</xm:f>
              <xm:sqref>D34</xm:sqref>
            </x14:sparkline>
            <x14:sparkline>
              <xm:f>Sheet1!C35:C35</xm:f>
              <xm:sqref>D35</xm:sqref>
            </x14:sparkline>
          </x14:sparklines>
        </x14:sparklineGroup>
        <x14:sparklineGroup manualMax="0" manualMin="0"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Sheet1!C13:C15</xm:f>
              <xm:sqref>G21</xm:sqref>
            </x14:sparkline>
          </x14:sparklines>
        </x14:sparklineGroup>
        <x14:sparklineGroup manualMax="0" manualMin="0" displayEmptyCellsAs="gap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Sheet1!C13:C13</xm:f>
              <xm:sqref>D13</xm:sqref>
            </x14:sparkline>
            <x14:sparkline>
              <xm:f>Sheet1!C14:C14</xm:f>
              <xm:sqref>D14</xm:sqref>
            </x14:sparkline>
            <x14:sparkline>
              <xm:f>Sheet1!C15:C15</xm:f>
              <xm:sqref>D15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SHIPS</dc:creator>
  <cp:lastModifiedBy>SHIPS</cp:lastModifiedBy>
  <dcterms:created xsi:type="dcterms:W3CDTF">2026-05-11T05:28:38Z</dcterms:created>
  <dcterms:modified xsi:type="dcterms:W3CDTF">2026-07-02T08:34:32Z</dcterms:modified>
</cp:coreProperties>
</file>